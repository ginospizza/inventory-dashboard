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Primary" sheetId="1" r:id="rId1"/>
    <sheet name="Second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-* #,##0.00_-;\-* #,##0.00_-;_-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 rightToLeft="0"/>
  </sheetViews>
  <sheetData>
    <row r="1">
      <c r="A1" t="str">
        <v>Product Code</v>
      </c>
      <c r="B1" t="str">
        <v>Item</v>
      </c>
      <c r="C1" t="str">
        <v>Type</v>
      </c>
      <c r="D1" t="str">
        <v>Pack Size</v>
      </c>
      <c r="E1" t="str">
        <v>Weight</v>
      </c>
      <c r="F1" t="str">
        <v>Weight Unit</v>
      </c>
    </row>
    <row r="2">
      <c r="A2">
        <v>20103</v>
      </c>
      <c r="B2" t="str">
        <v>SAP 20% PMZ IQF 1/8 3D 2x5KG CHEESE</v>
      </c>
      <c r="C2" t="str">
        <v>Cheese</v>
      </c>
      <c r="D2" t="str">
        <v>2x5KG</v>
      </c>
      <c r="E2">
        <v>10</v>
      </c>
      <c r="F2" t="str">
        <v>kg</v>
      </c>
    </row>
    <row r="3">
      <c r="A3">
        <v>20105</v>
      </c>
      <c r="B3" t="str">
        <v>3D 20% SHRED CHEESE (4x2.27 Kg)</v>
      </c>
      <c r="C3" t="str">
        <v>Cheese</v>
      </c>
      <c r="D3" t="str">
        <v>4x2.27KG</v>
      </c>
      <c r="E3">
        <v>9.08</v>
      </c>
      <c r="F3" t="str">
        <v>kg</v>
      </c>
    </row>
    <row r="4">
      <c r="A4" t="str">
        <v>020102A</v>
      </c>
      <c r="B4" t="str">
        <v>French Mozz Cheese - 10kg</v>
      </c>
      <c r="C4" t="str">
        <v>Cheese</v>
      </c>
      <c r="D4" t="str">
        <v>10kg</v>
      </c>
      <c r="E4">
        <v>10</v>
      </c>
      <c r="F4" t="str">
        <v>kg</v>
      </c>
    </row>
    <row r="5">
      <c r="A5" t="str">
        <v>T020111</v>
      </c>
      <c r="B5" t="str">
        <v>SAG 20% PZMZ EW 3D 10*2.4KG GOLD Cheese</v>
      </c>
      <c r="C5" t="str">
        <v>Cheese</v>
      </c>
      <c r="D5" t="str">
        <v>10x2.4kg</v>
      </c>
      <c r="E5">
        <v>24</v>
      </c>
      <c r="F5" t="str">
        <v>kg</v>
      </c>
    </row>
    <row r="6">
      <c r="A6" t="str">
        <v>G040114</v>
      </c>
      <c r="B6" t="str">
        <v>Ginos Pizza Sauce 6x100 fl.oz</v>
      </c>
      <c r="C6" t="str">
        <v>Pizza Sauce</v>
      </c>
      <c r="D6" t="str">
        <v>6x100 floz</v>
      </c>
      <c r="E6">
        <v>600</v>
      </c>
      <c r="F6" t="str">
        <v>Fl oz</v>
      </c>
    </row>
    <row r="7">
      <c r="A7">
        <v>40114</v>
      </c>
      <c r="B7" t="str">
        <v>V Food Premium Pizza Sauce 6x2.84L</v>
      </c>
      <c r="C7" t="str">
        <v>Pizza Sauce</v>
      </c>
      <c r="D7" t="str">
        <v>6x 2.84L</v>
      </c>
      <c r="E7">
        <f>6*2.84*33.814</f>
        <v>576.19056</v>
      </c>
      <c r="F7" t="str">
        <v>Fl oz</v>
      </c>
    </row>
    <row r="8">
      <c r="A8" t="str">
        <v>G050106</v>
      </c>
      <c r="B8" t="str">
        <v>Ginos Flour (20 Kg)</v>
      </c>
      <c r="C8" t="str">
        <v>Flour</v>
      </c>
      <c r="D8" t="str">
        <v>20kg</v>
      </c>
      <c r="E8">
        <v>20</v>
      </c>
      <c r="F8" t="str">
        <v>kg</v>
      </c>
    </row>
    <row r="9">
      <c r="A9" t="str">
        <v>T050106</v>
      </c>
      <c r="B9" t="str">
        <v>V Food Flour (20 Kg)</v>
      </c>
      <c r="C9" t="str">
        <v>Flour</v>
      </c>
      <c r="D9" t="str">
        <v>20kg</v>
      </c>
      <c r="E9">
        <v>20</v>
      </c>
      <c r="F9" t="str">
        <v>kg</v>
      </c>
    </row>
    <row r="10">
      <c r="A10">
        <v>50120</v>
      </c>
      <c r="B10" t="str">
        <v>Small Dough PT (72x300)</v>
      </c>
      <c r="C10" t="str">
        <v>Dough</v>
      </c>
      <c r="D10" t="str">
        <v>72x300g</v>
      </c>
      <c r="E10">
        <f>72*0.3</f>
        <v>21.599999999999998</v>
      </c>
      <c r="F10" t="str">
        <v>kg</v>
      </c>
    </row>
    <row r="11">
      <c r="A11">
        <v>50121</v>
      </c>
      <c r="B11" t="str">
        <v>Medium Dough PT (40x410)</v>
      </c>
      <c r="C11" t="str">
        <v>Dough</v>
      </c>
      <c r="D11" t="str">
        <v>40x410g</v>
      </c>
      <c r="E11">
        <f>40*0.41</f>
        <v>16.4</v>
      </c>
      <c r="F11" t="str">
        <v>kg</v>
      </c>
    </row>
    <row r="12">
      <c r="A12">
        <v>50122</v>
      </c>
      <c r="B12" t="str">
        <v>Large Dough PT (36x550)</v>
      </c>
      <c r="C12" t="str">
        <v>Dough</v>
      </c>
      <c r="D12" t="str">
        <v>36x550g</v>
      </c>
      <c r="E12">
        <f>36*0.55</f>
        <v>19.8</v>
      </c>
      <c r="F12" t="str">
        <v>kg</v>
      </c>
    </row>
    <row r="13">
      <c r="A13">
        <v>50123</v>
      </c>
      <c r="B13" t="str">
        <v>X-Large Dough PT (24x800)</v>
      </c>
      <c r="C13" t="str">
        <v>Dough</v>
      </c>
      <c r="D13" t="str">
        <v>24x800g</v>
      </c>
      <c r="E13">
        <f>24*0.8</f>
        <v>19.200000000000003</v>
      </c>
      <c r="F13" t="str">
        <v>kg</v>
      </c>
    </row>
    <row r="14">
      <c r="A14">
        <v>50124</v>
      </c>
      <c r="B14" t="str">
        <v>Party Dough PT (20x1000)</v>
      </c>
      <c r="C14" t="str">
        <v>Dough</v>
      </c>
      <c r="D14" t="str">
        <v>20x1000g</v>
      </c>
      <c r="E14">
        <v>20</v>
      </c>
      <c r="F14" t="str">
        <v>kg</v>
      </c>
    </row>
    <row r="15">
      <c r="A15" t="str">
        <v>G010311</v>
      </c>
      <c r="B15" t="str">
        <v>Ginos Small Pizza Box 10"(40)</v>
      </c>
      <c r="C15" t="str">
        <v>Packaging</v>
      </c>
      <c r="D15" t="str">
        <v>40/cs</v>
      </c>
      <c r="E15">
        <v>40</v>
      </c>
      <c r="F15" t="str">
        <v>each</v>
      </c>
    </row>
    <row r="16">
      <c r="A16" t="str">
        <v>G010312</v>
      </c>
      <c r="B16" t="str">
        <v>Ginos Medium Pizza Box 12" (40)</v>
      </c>
      <c r="C16" t="str">
        <v>Packaging</v>
      </c>
      <c r="D16" t="str">
        <v>40/cs</v>
      </c>
      <c r="E16">
        <v>40</v>
      </c>
      <c r="F16" t="str">
        <v>each</v>
      </c>
    </row>
    <row r="17">
      <c r="A17" t="str">
        <v>G010313</v>
      </c>
      <c r="B17" t="str">
        <v>Ginos Large Pizza Box 14" (40)</v>
      </c>
      <c r="C17" t="str">
        <v>Packaging</v>
      </c>
      <c r="D17" t="str">
        <v>40/cs</v>
      </c>
      <c r="E17">
        <v>40</v>
      </c>
      <c r="F17" t="str">
        <v>each</v>
      </c>
    </row>
    <row r="18">
      <c r="A18" t="str">
        <v>G010314</v>
      </c>
      <c r="B18" t="str">
        <v>Ginos X-Large Pizza Box 16" (40)</v>
      </c>
      <c r="C18" t="str">
        <v>Packaging</v>
      </c>
      <c r="D18" t="str">
        <v>40/cs</v>
      </c>
      <c r="E18">
        <v>40</v>
      </c>
      <c r="F18" t="str">
        <v>each</v>
      </c>
    </row>
    <row r="19">
      <c r="A19" t="str">
        <v>G010315</v>
      </c>
      <c r="B19" t="str">
        <v>Ginos Party Pizza Box 20" (40)</v>
      </c>
      <c r="C19" t="str">
        <v>Packaging</v>
      </c>
      <c r="D19" t="str">
        <v>40/cs</v>
      </c>
      <c r="E19">
        <v>40</v>
      </c>
      <c r="F19" t="str">
        <v>each</v>
      </c>
    </row>
    <row r="20">
      <c r="A20" t="str">
        <v>G010316</v>
      </c>
      <c r="B20" t="str">
        <v>Ginos Party Pizza Box 21x15</v>
      </c>
      <c r="C20" t="str">
        <v>Packaging</v>
      </c>
      <c r="D20" t="str">
        <v>40/cs</v>
      </c>
      <c r="E20">
        <v>40</v>
      </c>
      <c r="F20" t="str">
        <v>each</v>
      </c>
    </row>
    <row r="21">
      <c r="A21" t="str">
        <v>T010315</v>
      </c>
      <c r="B21" t="str">
        <v>TTD SMALL BOX 10 Yellow -40/cs</v>
      </c>
      <c r="C21" t="str">
        <v>Packaging</v>
      </c>
      <c r="D21" t="str">
        <v>40/cs</v>
      </c>
      <c r="E21">
        <v>40</v>
      </c>
      <c r="F21" t="str">
        <v>each</v>
      </c>
    </row>
    <row r="22">
      <c r="A22" t="str">
        <v>T010312B</v>
      </c>
      <c r="B22" t="str">
        <v>TTD Medium Pizza Box 2 Color</v>
      </c>
      <c r="C22" t="str">
        <v>Packaging</v>
      </c>
      <c r="D22" t="str">
        <v>40/cs</v>
      </c>
      <c r="E22">
        <v>40</v>
      </c>
      <c r="F22" t="str">
        <v>each</v>
      </c>
    </row>
    <row r="23">
      <c r="A23" t="str">
        <v>T010313B</v>
      </c>
      <c r="B23" t="str">
        <v>TTD Large Pizza Box 2 Color</v>
      </c>
      <c r="C23" t="str">
        <v>Packaging</v>
      </c>
      <c r="D23" t="str">
        <v>40/cs</v>
      </c>
      <c r="E23">
        <v>40</v>
      </c>
      <c r="F23" t="str">
        <v>each</v>
      </c>
    </row>
    <row r="24">
      <c r="A24" t="str">
        <v>T010314B</v>
      </c>
      <c r="B24" t="str">
        <v>TTD 16 XL Pizza Box 2 COLOR</v>
      </c>
      <c r="C24" t="str">
        <v>Packaging</v>
      </c>
      <c r="D24" t="str">
        <v>40/cs</v>
      </c>
      <c r="E24">
        <v>40</v>
      </c>
      <c r="F24" t="str">
        <v>each</v>
      </c>
    </row>
    <row r="25">
      <c r="A25" t="str">
        <v>T010316</v>
      </c>
      <c r="B25" t="str">
        <v>TTD 15x21 Party Pizza Box Yellow -40/cs</v>
      </c>
      <c r="C25" t="str">
        <v>Packaging</v>
      </c>
      <c r="D25" t="str">
        <v>40/cs</v>
      </c>
      <c r="E25">
        <v>40</v>
      </c>
      <c r="F25" t="str">
        <v>each</v>
      </c>
    </row>
    <row r="26">
      <c r="A26" t="str">
        <v>010311A</v>
      </c>
      <c r="B26" t="str">
        <v>DD Small Pizza Box 10" 2 Color -40/cs</v>
      </c>
      <c r="C26" t="str">
        <v>Packaging</v>
      </c>
      <c r="D26" t="str">
        <v>40/cs</v>
      </c>
      <c r="E26">
        <v>40</v>
      </c>
      <c r="F26" t="str">
        <v>each</v>
      </c>
    </row>
    <row r="27">
      <c r="A27" t="str">
        <v>010312A</v>
      </c>
      <c r="B27" t="str">
        <v>DD Med Pizza Box 12" 2 Color -40/cs</v>
      </c>
      <c r="C27" t="str">
        <v>Packaging</v>
      </c>
      <c r="D27" t="str">
        <v>40/cs</v>
      </c>
      <c r="E27">
        <v>40</v>
      </c>
      <c r="F27" t="str">
        <v>each</v>
      </c>
    </row>
    <row r="28">
      <c r="A28" t="str">
        <v>010313A</v>
      </c>
      <c r="B28" t="str">
        <v>DD Large Pizza Box 14" 2 Color -40/cs</v>
      </c>
      <c r="C28" t="str">
        <v>Packaging</v>
      </c>
      <c r="D28" t="str">
        <v>40/cs</v>
      </c>
      <c r="E28">
        <v>40</v>
      </c>
      <c r="F28" t="str">
        <v>each</v>
      </c>
    </row>
    <row r="29">
      <c r="A29" t="str">
        <v>010314A</v>
      </c>
      <c r="B29" t="str">
        <v>DD X Large Pizza Box 16" 2 Color</v>
      </c>
      <c r="C29" t="str">
        <v>Packaging</v>
      </c>
      <c r="D29" t="str">
        <v>40/cs</v>
      </c>
      <c r="E29">
        <v>40</v>
      </c>
      <c r="F29" t="str">
        <v>each</v>
      </c>
    </row>
    <row r="30">
      <c r="A30" t="str">
        <v>010315A</v>
      </c>
      <c r="B30" t="str">
        <v>DD Party Pizza Box 15x21" 2 Color</v>
      </c>
      <c r="C30" t="str">
        <v>Packaging</v>
      </c>
      <c r="D30" t="str">
        <v>40/cs</v>
      </c>
      <c r="E30">
        <v>40</v>
      </c>
      <c r="F30" t="str">
        <v>each</v>
      </c>
    </row>
    <row r="31">
      <c r="A31" t="str">
        <v>P7310A</v>
      </c>
      <c r="B31" t="str">
        <v>8 WING BOX - BDL/50</v>
      </c>
      <c r="C31" t="str">
        <v>Packaging</v>
      </c>
      <c r="D31" t="str">
        <v>50/cs</v>
      </c>
      <c r="E31">
        <v>50</v>
      </c>
      <c r="F31" t="str">
        <v>each</v>
      </c>
    </row>
    <row r="32">
      <c r="A32" t="str">
        <v>P7330</v>
      </c>
      <c r="B32" t="str">
        <v>10 WING BOX - BDL/50</v>
      </c>
      <c r="C32" t="str">
        <v>Packaging</v>
      </c>
      <c r="D32" t="str">
        <v>50/cs</v>
      </c>
      <c r="E32">
        <v>50</v>
      </c>
      <c r="F32" t="str">
        <v>each</v>
      </c>
    </row>
    <row r="33">
      <c r="A33" t="str">
        <v>P7340</v>
      </c>
      <c r="B33" t="str">
        <v>12 WING BOX - BDL/50</v>
      </c>
      <c r="C33" t="str">
        <v>Packaging</v>
      </c>
      <c r="D33" t="str">
        <v>50/cs</v>
      </c>
      <c r="E33">
        <v>50</v>
      </c>
      <c r="F33" t="str">
        <v>each</v>
      </c>
    </row>
    <row r="34">
      <c r="A34" t="str">
        <v>P7350</v>
      </c>
      <c r="B34" t="str">
        <v>14 WING BOX - BDL/50</v>
      </c>
      <c r="C34" t="str">
        <v>Packaging</v>
      </c>
      <c r="D34" t="str">
        <v>50/cs</v>
      </c>
      <c r="E34">
        <v>50</v>
      </c>
      <c r="F34" t="str">
        <v>each</v>
      </c>
    </row>
    <row r="35">
      <c r="A35" t="str">
        <v>G060511A</v>
      </c>
      <c r="B35" t="str">
        <v>Ginos Clamshell Box - 100/CS BOX LOCK CORNER</v>
      </c>
      <c r="C35" t="str">
        <v>Packaging</v>
      </c>
      <c r="D35" t="str">
        <v>100/cs</v>
      </c>
      <c r="E35">
        <v>100</v>
      </c>
      <c r="F35" t="str">
        <v>each</v>
      </c>
    </row>
    <row r="36">
      <c r="A36" t="str">
        <v>G060511</v>
      </c>
      <c r="B36" t="str">
        <v>Ginos Clamshell Box - 200/cs</v>
      </c>
      <c r="C36" t="str">
        <v>Packaging</v>
      </c>
      <c r="D36" t="str">
        <v>200/cs</v>
      </c>
      <c r="E36">
        <v>200</v>
      </c>
      <c r="F36" t="str">
        <v>each</v>
      </c>
    </row>
    <row r="37">
      <c r="A37" t="str">
        <v>60511</v>
      </c>
      <c r="B37" t="str">
        <v>Generic Clamshells - 200/cs</v>
      </c>
      <c r="C37" t="str">
        <v>Packaging</v>
      </c>
      <c r="D37" t="str">
        <v>200/cs</v>
      </c>
      <c r="E37">
        <v>200</v>
      </c>
      <c r="F37" t="str">
        <v>each</v>
      </c>
    </row>
    <row r="38">
      <c r="A38" t="str">
        <v>60501</v>
      </c>
      <c r="B38" t="str">
        <v>9 Paper Plates - 12x100</v>
      </c>
      <c r="C38" t="str">
        <v>Packaging</v>
      </c>
      <c r="D38" t="str">
        <v>12x100</v>
      </c>
      <c r="E38">
        <v>1200</v>
      </c>
      <c r="F38" t="str">
        <v>each</v>
      </c>
    </row>
    <row r="39">
      <c r="A39" t="str">
        <v>G060510</v>
      </c>
      <c r="B39" t="str">
        <v>Ginos Pizza Slice Tray - 500/cs</v>
      </c>
      <c r="C39" t="str">
        <v>Packaging</v>
      </c>
      <c r="D39" t="str">
        <v>500/cs</v>
      </c>
      <c r="E39">
        <v>500</v>
      </c>
      <c r="F39" t="str">
        <v>each</v>
      </c>
    </row>
    <row r="40">
      <c r="A40" t="str">
        <v>P1250</v>
      </c>
      <c r="B40" t="str">
        <v>CRUSHED TOMATOES &amp; SPICE - CASE 6/100 ML</v>
      </c>
      <c r="C40" t="str">
        <v>Pizza Sauce</v>
      </c>
      <c r="D40" t="str">
        <v>6x100oz</v>
      </c>
      <c r="E40">
        <v>600</v>
      </c>
      <c r="F40" t="str">
        <v>Fl oz</v>
      </c>
    </row>
    <row r="41">
      <c r="A41" t="str">
        <v>P1352</v>
      </c>
      <c r="B41" t="str">
        <v>SLICE DOUGH - CASE OF 14/32oz</v>
      </c>
      <c r="C41" t="str">
        <v>Dough</v>
      </c>
      <c r="D41" t="str">
        <v>14x32oz</v>
      </c>
      <c r="E41">
        <v>12.7</v>
      </c>
      <c r="F41" t="str">
        <v>kg</v>
      </c>
    </row>
    <row r="42">
      <c r="A42" t="str">
        <v>50125</v>
      </c>
      <c r="B42" t="str">
        <v>Whole Wheat Dough L 36 x550 grms</v>
      </c>
      <c r="C42" t="str">
        <v>Dough</v>
      </c>
      <c r="D42" t="str">
        <v>36x550g</v>
      </c>
      <c r="E42">
        <v>19.8</v>
      </c>
      <c r="F42" t="str">
        <v>kg</v>
      </c>
    </row>
    <row r="43">
      <c r="A43" t="str">
        <v>20102</v>
      </c>
      <c r="B43" t="str">
        <v>Cheese -10KG IQF</v>
      </c>
      <c r="C43" t="str">
        <v>Cheese</v>
      </c>
      <c r="D43" t="str">
        <v>10kg</v>
      </c>
      <c r="E43">
        <v>10</v>
      </c>
      <c r="F43" t="str">
        <v>kg</v>
      </c>
    </row>
  </sheetData>
  <pageMargins left="0.7" right="0.7" top="0.75" bottom="0.75" header="0.3" footer="0.3"/>
  <ignoredErrors>
    <ignoredError numberStoredAsText="1" sqref="A1:F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 rightToLeft="0"/>
  </sheetViews>
  <sheetData>
    <row r="1">
      <c r="A1" t="str">
        <v>Product Code</v>
      </c>
      <c r="B1" t="str">
        <v>Item</v>
      </c>
      <c r="C1" t="str">
        <v>Type</v>
      </c>
      <c r="D1" t="str">
        <v>Pack Size</v>
      </c>
      <c r="E1" t="str">
        <v>Weight</v>
      </c>
      <c r="F1" t="str">
        <v>Weight Unit</v>
      </c>
    </row>
    <row r="2">
      <c r="A2" t="str">
        <v>G030104D</v>
      </c>
      <c r="B2" t="str">
        <v>Ginos New Wings - 4kg</v>
      </c>
      <c r="C2" t="str">
        <v>Secondary</v>
      </c>
      <c r="D2" t="str">
        <v>4kg</v>
      </c>
      <c r="E2">
        <v>4</v>
      </c>
      <c r="F2" t="str">
        <v>kg</v>
      </c>
    </row>
    <row r="3">
      <c r="A3" t="str">
        <v>G030105B</v>
      </c>
      <c r="B3" t="str">
        <v>Ginos Breaded Wings New 10kg</v>
      </c>
      <c r="C3" t="str">
        <v>Secondary</v>
      </c>
      <c r="D3" t="str">
        <v>10kg</v>
      </c>
      <c r="E3">
        <v>10</v>
      </c>
      <c r="F3" t="str">
        <v>kg</v>
      </c>
    </row>
    <row r="4">
      <c r="A4" t="str">
        <v>G020232</v>
      </c>
      <c r="B4" t="str">
        <v>Boneless Wings</v>
      </c>
      <c r="C4" t="str">
        <v>Secondary</v>
      </c>
      <c r="D4" t="str">
        <v>4kg</v>
      </c>
      <c r="E4">
        <v>4</v>
      </c>
      <c r="F4" t="str">
        <v>kg</v>
      </c>
    </row>
    <row r="5">
      <c r="A5">
        <v>30104</v>
      </c>
      <c r="B5" t="str">
        <v>Chicken Wings 40lbs</v>
      </c>
      <c r="C5" t="str">
        <v>Secondary</v>
      </c>
      <c r="D5" t="str">
        <v>40lbs</v>
      </c>
      <c r="E5">
        <f>40/2.2046</f>
        <v>18.143880976140796</v>
      </c>
      <c r="F5" t="str">
        <v>kg</v>
      </c>
    </row>
    <row r="6">
      <c r="A6">
        <v>20207</v>
      </c>
      <c r="B6" t="str">
        <v>Chicken Topping Halal -4.54kg</v>
      </c>
      <c r="C6" t="str">
        <v>Secondary</v>
      </c>
      <c r="D6" t="str">
        <v>4.54kg</v>
      </c>
      <c r="E6">
        <v>4.54</v>
      </c>
      <c r="F6" t="str">
        <v>kg</v>
      </c>
    </row>
    <row r="7">
      <c r="A7">
        <v>40110</v>
      </c>
      <c r="B7" t="str">
        <v>Hot Banana Peppers Rings (4x378L)</v>
      </c>
      <c r="C7" t="str">
        <v>Secondary</v>
      </c>
      <c r="D7" t="str">
        <v>4x3.78L</v>
      </c>
      <c r="E7">
        <f>4*3.78</f>
        <v>15.12</v>
      </c>
      <c r="F7" t="str">
        <v>fl oz</v>
      </c>
    </row>
    <row r="8">
      <c r="A8" t="str">
        <v>40108A</v>
      </c>
      <c r="B8" t="str">
        <v>Sliced Black Olives in Pouches</v>
      </c>
      <c r="C8" t="str">
        <v>Secondary</v>
      </c>
      <c r="D8" t="str">
        <v>10x1.7L</v>
      </c>
      <c r="E8">
        <f>10*1.7*33.814</f>
        <v>574.838</v>
      </c>
      <c r="F8" t="str">
        <v>fl oz</v>
      </c>
    </row>
    <row r="9">
      <c r="A9">
        <v>40108</v>
      </c>
      <c r="B9" t="str">
        <v>Sliced Black Olives</v>
      </c>
      <c r="C9" t="str">
        <v>Secondary</v>
      </c>
      <c r="D9" t="str">
        <v>6x2.84L</v>
      </c>
      <c r="E9">
        <f>2.84*6*33.814</f>
        <v>576.19056</v>
      </c>
      <c r="F9" t="str">
        <v>fl oz</v>
      </c>
    </row>
    <row r="10">
      <c r="A10">
        <v>40107</v>
      </c>
      <c r="B10" t="str">
        <v>Green Olives 6x2.84 Lt</v>
      </c>
      <c r="C10" t="str">
        <v>Secondary</v>
      </c>
      <c r="D10" t="str">
        <v>6x2.84L</v>
      </c>
      <c r="E10">
        <f>2.84*6*33.814</f>
        <v>576.19056</v>
      </c>
      <c r="F10" t="str">
        <v>fl oz</v>
      </c>
    </row>
    <row r="11">
      <c r="A11" t="str">
        <v>040107C</v>
      </c>
      <c r="B11" t="str">
        <v>Gree Olives Pouches 10/1.7kg</v>
      </c>
      <c r="C11" t="str">
        <v>Secondary</v>
      </c>
      <c r="D11" t="str">
        <v>10x1.7L</v>
      </c>
      <c r="E11">
        <f>10*1.7*33.814</f>
        <v>574.838</v>
      </c>
      <c r="F11" t="str">
        <v>fl oz</v>
      </c>
    </row>
    <row r="12">
      <c r="A12">
        <v>40106</v>
      </c>
      <c r="B12" t="str">
        <v>Choice Pineapple Pizza Cut 6x100oz</v>
      </c>
      <c r="C12" t="str">
        <v>Secondary</v>
      </c>
      <c r="D12" t="str">
        <v>6x100oz</v>
      </c>
      <c r="E12">
        <v>600</v>
      </c>
      <c r="F12" t="str">
        <v>fl oz</v>
      </c>
    </row>
    <row r="13">
      <c r="A13">
        <v>40111</v>
      </c>
      <c r="B13" t="str">
        <v>Jalapeno Peppers 4x4L</v>
      </c>
      <c r="C13" t="str">
        <v>Secondary</v>
      </c>
      <c r="D13" t="str">
        <v>4x4L</v>
      </c>
      <c r="E13">
        <f>16*33.814</f>
        <v>541.024</v>
      </c>
      <c r="F13" t="str">
        <v>fl oz</v>
      </c>
    </row>
    <row r="14">
      <c r="A14">
        <v>20214</v>
      </c>
      <c r="B14" t="str">
        <v>V Food Pepperoni (6.8Kg)</v>
      </c>
      <c r="C14" t="str">
        <v>Secondary</v>
      </c>
      <c r="D14" t="str">
        <v>6.8kg</v>
      </c>
      <c r="E14">
        <v>6.8</v>
      </c>
      <c r="F14" t="str">
        <v>kg</v>
      </c>
    </row>
    <row r="15">
      <c r="A15" t="str">
        <v>T020214</v>
      </c>
      <c r="B15" t="str">
        <v>Sugardale Pepperoni (9.07 Kg)</v>
      </c>
      <c r="C15" t="str">
        <v>Secondary</v>
      </c>
      <c r="D15" t="str">
        <v>9.07kg</v>
      </c>
      <c r="E15">
        <v>9.07</v>
      </c>
      <c r="F15" t="str">
        <v>kg</v>
      </c>
    </row>
    <row r="16">
      <c r="A16">
        <v>20203</v>
      </c>
      <c r="B16" t="str">
        <v>Bacon (9.07 Kg)</v>
      </c>
      <c r="C16" t="str">
        <v>Secondary</v>
      </c>
      <c r="D16" t="str">
        <v>9.07kg</v>
      </c>
      <c r="E16">
        <v>9.07</v>
      </c>
      <c r="F16" t="str">
        <v>kg</v>
      </c>
    </row>
    <row r="17">
      <c r="A17" t="str">
        <v>T020210A</v>
      </c>
      <c r="B17" t="str">
        <v>Springer Ham 5 Kg</v>
      </c>
      <c r="C17" t="str">
        <v>Secondary</v>
      </c>
      <c r="D17" t="str">
        <v>5kg</v>
      </c>
      <c r="E17">
        <v>5</v>
      </c>
      <c r="F17" t="str">
        <v>kg</v>
      </c>
    </row>
    <row r="18">
      <c r="A18" t="str">
        <v>T020205</v>
      </c>
      <c r="B18" t="str">
        <v>Small Sausage (2x2.27 Kg)</v>
      </c>
      <c r="C18" t="str">
        <v>Secondary</v>
      </c>
      <c r="D18" t="str">
        <v>2x2.27kg</v>
      </c>
      <c r="E18">
        <f>2*2.27</f>
        <v>4.54</v>
      </c>
      <c r="F18" t="str">
        <v>kg</v>
      </c>
    </row>
    <row r="19">
      <c r="A19" t="str">
        <v>T020206</v>
      </c>
      <c r="B19" t="str">
        <v>SL Hot Sausage</v>
      </c>
      <c r="C19" t="str">
        <v>Secondary</v>
      </c>
      <c r="D19" t="str">
        <v>6kg</v>
      </c>
      <c r="E19">
        <v>6</v>
      </c>
      <c r="F19" t="str">
        <v>kg</v>
      </c>
    </row>
  </sheetData>
  <pageMargins left="0.7" right="0.7" top="0.75" bottom="0.75" header="0.3" footer="0.3"/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2026-04-23T15:39:51Z</dcterms:created>
  <dcterms:modified xsi:type="dcterms:W3CDTF">2026-04-24T13:35:12Z</dcterms:modified>
  <cp:lastModifiedBy>James Etherington</cp:lastModifiedBy>
  <dc:creator>James Etherington</dc:creator>
</cp:coreProperties>
</file>