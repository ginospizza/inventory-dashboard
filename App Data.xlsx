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DSM\"/>
    </mc:Choice>
  </mc:AlternateContent>
  <xr:revisionPtr revIDLastSave="0" documentId="13_ncr:1_{B90AC123-F98D-452F-8C70-2A582C1AD97A}" xr6:coauthVersionLast="47" xr6:coauthVersionMax="47" xr10:uidLastSave="{00000000-0000-0000-0000-000000000000}"/>
  <bookViews>
    <workbookView xWindow="13545" yWindow="1365" windowWidth="13545" windowHeight="13680" xr2:uid="{641BA194-7852-4A53-B67E-9589DABE1036}"/>
  </bookViews>
  <sheets>
    <sheet name="Primary" sheetId="3" r:id="rId1"/>
    <sheet name="Secondary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8" i="4" l="1"/>
  <c r="E13" i="4"/>
  <c r="E11" i="4"/>
  <c r="E10" i="4"/>
  <c r="E9" i="4"/>
  <c r="E8" i="4"/>
  <c r="E7" i="4"/>
  <c r="E5" i="4"/>
  <c r="E13" i="3"/>
  <c r="E12" i="3"/>
  <c r="E11" i="3"/>
  <c r="E10" i="3"/>
  <c r="E7" i="3"/>
</calcChain>
</file>

<file path=xl/sharedStrings.xml><?xml version="1.0" encoding="utf-8"?>
<sst xmlns="http://schemas.openxmlformats.org/spreadsheetml/2006/main" count="250" uniqueCount="128">
  <si>
    <t>Product Code</t>
  </si>
  <si>
    <t>Item</t>
  </si>
  <si>
    <t>Type</t>
  </si>
  <si>
    <t>Pack Size</t>
  </si>
  <si>
    <t>Cheese</t>
  </si>
  <si>
    <t>SAP 20% PMZ IQF 1/8 3D 2x5KG CHEESE</t>
  </si>
  <si>
    <t>2x5KG</t>
  </si>
  <si>
    <t>3D 20% SHRED CHEESE (4x2.27 Kg)</t>
  </si>
  <si>
    <t>4x2.27KG</t>
  </si>
  <si>
    <t>Bacon (9.07 Kg)</t>
  </si>
  <si>
    <t>9.07kg</t>
  </si>
  <si>
    <t>2x2.27kg</t>
  </si>
  <si>
    <t>5kg</t>
  </si>
  <si>
    <t>Chicken Topping Halal -4.54kg</t>
  </si>
  <si>
    <t>4.54kg</t>
  </si>
  <si>
    <t>V Food Pepperoni (6.8Kg)</t>
  </si>
  <si>
    <t>6.8kg</t>
  </si>
  <si>
    <t>4kg</t>
  </si>
  <si>
    <t>Choice Pineapple Pizza Cut 6x100oz</t>
  </si>
  <si>
    <t>6x100oz</t>
  </si>
  <si>
    <t>40108A</t>
  </si>
  <si>
    <t>Sliced Black Olives in Pouches</t>
  </si>
  <si>
    <t>Hot Banana Peppers Rings (4x378L)</t>
  </si>
  <si>
    <t>4x3.78L</t>
  </si>
  <si>
    <t>Jalapeno Peppers 4x4L</t>
  </si>
  <si>
    <t>4x4L</t>
  </si>
  <si>
    <t>20kg</t>
  </si>
  <si>
    <t>Packaging</t>
  </si>
  <si>
    <t>each</t>
  </si>
  <si>
    <t>020102A</t>
  </si>
  <si>
    <t>French Mozz Cheese - 10kg</t>
  </si>
  <si>
    <t>10kg</t>
  </si>
  <si>
    <t>Dough</t>
  </si>
  <si>
    <t>G010311</t>
  </si>
  <si>
    <t>Ginos Small Pizza Box 10"(40)</t>
  </si>
  <si>
    <t>40/cs</t>
  </si>
  <si>
    <t>G010312</t>
  </si>
  <si>
    <t>Ginos Medium Pizza Box 12" (40)</t>
  </si>
  <si>
    <t>G010313</t>
  </si>
  <si>
    <t>Ginos Large Pizza Box 14" (40)</t>
  </si>
  <si>
    <t>G010314</t>
  </si>
  <si>
    <t>Ginos X-Large Pizza Box 16" (40)</t>
  </si>
  <si>
    <t>G010315</t>
  </si>
  <si>
    <t>Ginos Party Pizza Box 20" (40)</t>
  </si>
  <si>
    <t>G010316</t>
  </si>
  <si>
    <t>Ginos Party Pizza Box 21x15</t>
  </si>
  <si>
    <t>G020232</t>
  </si>
  <si>
    <t>Boneless Wings</t>
  </si>
  <si>
    <t>G030105B</t>
  </si>
  <si>
    <t>Ginos Breaded Wings New 10kg</t>
  </si>
  <si>
    <t>G040114</t>
  </si>
  <si>
    <t>Ginos Pizza Sauce 6x100 fl.oz</t>
  </si>
  <si>
    <t>Pizza Sauce</t>
  </si>
  <si>
    <t>6x100 floz</t>
  </si>
  <si>
    <t>G050106</t>
  </si>
  <si>
    <t>Ginos Flour (20 Kg)</t>
  </si>
  <si>
    <t>50/cs</t>
  </si>
  <si>
    <t>10x2.4kg</t>
  </si>
  <si>
    <t>T020111</t>
  </si>
  <si>
    <t>SAG 20% PZMZ EW 3D 10*2.4KG GOLD Cheese</t>
  </si>
  <si>
    <t>T020205</t>
  </si>
  <si>
    <t>Small Sausage (2x2.27 Kg)</t>
  </si>
  <si>
    <t>T020206</t>
  </si>
  <si>
    <t>SL Hot Sausage</t>
  </si>
  <si>
    <t>6kg</t>
  </si>
  <si>
    <t>T020210A</t>
  </si>
  <si>
    <t>Springer Ham 5 Kg</t>
  </si>
  <si>
    <t>T020214</t>
  </si>
  <si>
    <t>Sugardale Pepperoni (9.07 Kg)</t>
  </si>
  <si>
    <t>T050106</t>
  </si>
  <si>
    <t>V Food Flour (20 Kg)</t>
  </si>
  <si>
    <t>Fl oz</t>
  </si>
  <si>
    <t>Weight</t>
  </si>
  <si>
    <t>Weight Unit</t>
  </si>
  <si>
    <t>kg</t>
  </si>
  <si>
    <t>fl oz</t>
  </si>
  <si>
    <t>V Food Premium Pizza Sauce 6x2.84L</t>
  </si>
  <si>
    <t>6x 2.84L</t>
  </si>
  <si>
    <t>TTD SMALL BOX 10 Yellow -40/cs</t>
  </si>
  <si>
    <t>TTD Medium Pizza Box 2 Color</t>
  </si>
  <si>
    <t>TTD Large Pizza Box 2 Color</t>
  </si>
  <si>
    <t>TTD 16 XL Pizza Box 2 COLOR</t>
  </si>
  <si>
    <t>TTD 15x21 Party Pizza Box Yellow -40/cs</t>
  </si>
  <si>
    <t>T010315</t>
  </si>
  <si>
    <t>T010316</t>
  </si>
  <si>
    <t>T010312B</t>
  </si>
  <si>
    <t>T010313B</t>
  </si>
  <si>
    <t>T010314B</t>
  </si>
  <si>
    <t>010311A</t>
  </si>
  <si>
    <t>DD Small Pizza Box 10" 2 Color -40/cs</t>
  </si>
  <si>
    <t>010312A</t>
  </si>
  <si>
    <t>DD Med Pizza Box 12" 2 Color -40/cs</t>
  </si>
  <si>
    <t>010313A</t>
  </si>
  <si>
    <t>DD Large Pizza Box 14" 2 Color -40/cs</t>
  </si>
  <si>
    <t>010314A</t>
  </si>
  <si>
    <t>DD X Large Pizza Box 16" 2 Color</t>
  </si>
  <si>
    <t>010315A</t>
  </si>
  <si>
    <t>DD Party Pizza Box 15x21" 2 Color</t>
  </si>
  <si>
    <t>P7310A</t>
  </si>
  <si>
    <t>8 WING BOX - BDL/50</t>
  </si>
  <si>
    <t>P7330</t>
  </si>
  <si>
    <t>10 WING BOX - BDL/50</t>
  </si>
  <si>
    <t>P7340</t>
  </si>
  <si>
    <t>12 WING BOX - BDL/50</t>
  </si>
  <si>
    <t>P7350</t>
  </si>
  <si>
    <t>14 WING BOX - BDL/50</t>
  </si>
  <si>
    <t>G030104D</t>
  </si>
  <si>
    <t>Ginos New Wings - 4kg</t>
  </si>
  <si>
    <t>Chicken Wings 40lbs</t>
  </si>
  <si>
    <t>40lbs</t>
  </si>
  <si>
    <t>Green Olives 6x2.84 Lt</t>
  </si>
  <si>
    <t>6x2.84L</t>
  </si>
  <si>
    <t>10x1.7L</t>
  </si>
  <si>
    <t>Sliced Black Olives</t>
  </si>
  <si>
    <t>040107C</t>
  </si>
  <si>
    <t>Gree Olives Pouches 10/1.7kg</t>
  </si>
  <si>
    <t>Flour</t>
  </si>
  <si>
    <t>Small Dough PT (72x300)</t>
  </si>
  <si>
    <t>Medium Dough PT (40x410)</t>
  </si>
  <si>
    <t>Large Dough PT (36x550)</t>
  </si>
  <si>
    <t>X-Large Dough PT (24x800)</t>
  </si>
  <si>
    <t>Party Dough PT (20x1000)</t>
  </si>
  <si>
    <t>40x410g</t>
  </si>
  <si>
    <t>72x300g</t>
  </si>
  <si>
    <t>36x550g</t>
  </si>
  <si>
    <t>20x1000g</t>
  </si>
  <si>
    <t>24x800g</t>
  </si>
  <si>
    <t>Secondary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</si>
</sst>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10">
    <xf numFmtId="0" fontId="0" fillId="0" borderId="0" xfId="0"/>
    <xf numFmtId="43" fontId="0" fillId="0" borderId="0" xfId="1" applyFont="1"/>
    <xf numFmtId="0" fontId="2" fillId="0" borderId="0" xfId="2" applyFont="1" applyAlignment="1">
      <alignment vertical="center" wrapText="1"/>
    </xf>
    <xf numFmtId="2" fontId="0" fillId="0" borderId="0" xfId="0" applyNumberFormat="1"/>
    <xf numFmtId="0" fontId="2" fillId="0" borderId="0" xfId="3" applyFont="1" applyAlignment="1">
      <alignment vertical="center" wrapText="1"/>
    </xf>
    <xf numFmtId="0" fontId="2" fillId="0" borderId="0" xfId="3" applyFont="1" applyAlignment="1">
      <alignment vertical="center"/>
    </xf>
    <xf numFmtId="0" fontId="0" fillId="0" borderId="0" xfId="0" applyAlignment="1"/>
    <xf numFmtId="43" fontId="0" fillId="0" borderId="0" xfId="1" applyFont="1" applyAlignment="1"/>
    <xf numFmtId="2" fontId="0" fillId="0" borderId="0" xfId="0" applyNumberFormat="1" applyAlignment="1"/>
    <xf numFmtId="0" fontId="0" fillId="0" borderId="1" xfId="0" applyBorder="1" applyAlignment="1">
      <alignment horizontal="center"/>
    </xf>
  </cellXfs>
  <cellStyles count="4">
    <cellStyle name="Comma" xfId="1" builtinId="3"/>
    <cellStyle name="Normal" xfId="0" builtinId="0"/>
    <cellStyle name="Normal 6" xfId="3" xr:uid="{2C1EE4D9-00FD-4741-8600-5F45FC67CC95}"/>
    <cellStyle name="Normal 7" xfId="2" xr:uid="{403BF1FD-2025-413B-9166-6A68ED5619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EFDE8-779A-4C2A-81DE-3684CFD8D882}">
  <dimension ref="A1:F34"/>
  <sheetViews>
    <sheetView tabSelected="1" workbookViewId="0">
      <selection activeCell="B10" sqref="B10"/>
    </sheetView>
  </sheetViews>
  <sheetFormatPr defaultRowHeight="15" x14ac:dyDescent="0.25"/>
  <cols>
    <col min="1" max="1" width="12.7109375" bestFit="1" customWidth="1"/>
    <col min="2" max="2" width="41.85546875" bestFit="1" customWidth="1"/>
    <col min="3" max="3" width="13" customWidth="1"/>
    <col min="4" max="4" width="12.28515625" customWidth="1"/>
    <col min="5" max="5" width="8.5703125" customWidth="1"/>
    <col min="6" max="6" width="13.42578125" customWidth="1"/>
  </cols>
  <sheetData>
    <row r="1" spans="1:6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72</v>
      </c>
      <c r="F1" s="9" t="s">
        <v>73</v>
      </c>
    </row>
    <row r="2" spans="1:6" x14ac:dyDescent="0.25">
      <c r="A2">
        <v>20103</v>
      </c>
      <c r="B2" t="s">
        <v>5</v>
      </c>
      <c r="C2" t="s">
        <v>4</v>
      </c>
      <c r="D2" t="s">
        <v>6</v>
      </c>
      <c r="E2">
        <v>10</v>
      </c>
      <c r="F2" t="s">
        <v>74</v>
      </c>
    </row>
    <row r="3" spans="1:6" x14ac:dyDescent="0.25">
      <c r="A3">
        <v>20105</v>
      </c>
      <c r="B3" t="s">
        <v>7</v>
      </c>
      <c r="C3" t="s">
        <v>4</v>
      </c>
      <c r="D3" t="s">
        <v>8</v>
      </c>
      <c r="E3" s="3">
        <v>9.08</v>
      </c>
      <c r="F3" t="s">
        <v>74</v>
      </c>
    </row>
    <row r="4" spans="1:6" x14ac:dyDescent="0.25">
      <c r="A4" t="s">
        <v>29</v>
      </c>
      <c r="B4" t="s">
        <v>30</v>
      </c>
      <c r="C4" t="s">
        <v>4</v>
      </c>
      <c r="D4" t="s">
        <v>31</v>
      </c>
      <c r="E4">
        <v>10</v>
      </c>
      <c r="F4" t="s">
        <v>74</v>
      </c>
    </row>
    <row r="5" spans="1:6" x14ac:dyDescent="0.25">
      <c r="A5" t="s">
        <v>58</v>
      </c>
      <c r="B5" t="s">
        <v>59</v>
      </c>
      <c r="C5" t="s">
        <v>4</v>
      </c>
      <c r="D5" t="s">
        <v>57</v>
      </c>
      <c r="E5">
        <v>24</v>
      </c>
      <c r="F5" t="s">
        <v>74</v>
      </c>
    </row>
    <row r="6" spans="1:6" x14ac:dyDescent="0.25">
      <c r="A6" t="s">
        <v>50</v>
      </c>
      <c r="B6" t="s">
        <v>51</v>
      </c>
      <c r="C6" t="s">
        <v>52</v>
      </c>
      <c r="D6" t="s">
        <v>53</v>
      </c>
      <c r="E6" s="3">
        <v>600</v>
      </c>
      <c r="F6" s="1" t="s">
        <v>71</v>
      </c>
    </row>
    <row r="7" spans="1:6" x14ac:dyDescent="0.25">
      <c r="A7">
        <v>40114</v>
      </c>
      <c r="B7" t="s">
        <v>76</v>
      </c>
      <c r="C7" t="s">
        <v>52</v>
      </c>
      <c r="D7" t="s">
        <v>77</v>
      </c>
      <c r="E7" s="3">
        <f>6*2.84*33.814</f>
        <v>576.19056</v>
      </c>
      <c r="F7" t="s">
        <v>71</v>
      </c>
    </row>
    <row r="8" spans="1:6" x14ac:dyDescent="0.25">
      <c r="A8" t="s">
        <v>54</v>
      </c>
      <c r="B8" t="s">
        <v>55</v>
      </c>
      <c r="C8" t="s">
        <v>116</v>
      </c>
      <c r="D8" t="s">
        <v>26</v>
      </c>
      <c r="E8">
        <v>20</v>
      </c>
      <c r="F8" t="s">
        <v>74</v>
      </c>
    </row>
    <row r="9" spans="1:6" x14ac:dyDescent="0.25">
      <c r="A9" t="s">
        <v>69</v>
      </c>
      <c r="B9" t="s">
        <v>70</v>
      </c>
      <c r="C9" t="s">
        <v>116</v>
      </c>
      <c r="D9" t="s">
        <v>26</v>
      </c>
      <c r="E9">
        <v>20</v>
      </c>
      <c r="F9" t="s">
        <v>74</v>
      </c>
    </row>
    <row r="10" spans="1:6" x14ac:dyDescent="0.25">
      <c r="A10">
        <v>50120</v>
      </c>
      <c r="B10" t="s">
        <v>117</v>
      </c>
      <c r="C10" t="s">
        <v>32</v>
      </c>
      <c r="D10" t="s">
        <v>123</v>
      </c>
      <c r="E10">
        <f>72*0.3</f>
        <v>21.599999999999998</v>
      </c>
      <c r="F10" t="s">
        <v>74</v>
      </c>
    </row>
    <row r="11" spans="1:6" x14ac:dyDescent="0.25">
      <c r="A11">
        <v>50121</v>
      </c>
      <c r="B11" t="s">
        <v>118</v>
      </c>
      <c r="C11" t="s">
        <v>32</v>
      </c>
      <c r="D11" t="s">
        <v>122</v>
      </c>
      <c r="E11">
        <f>40*0.41</f>
        <v>16.399999999999999</v>
      </c>
      <c r="F11" t="s">
        <v>74</v>
      </c>
    </row>
    <row r="12" spans="1:6" x14ac:dyDescent="0.25">
      <c r="A12">
        <v>50122</v>
      </c>
      <c r="B12" t="s">
        <v>119</v>
      </c>
      <c r="C12" t="s">
        <v>32</v>
      </c>
      <c r="D12" t="s">
        <v>124</v>
      </c>
      <c r="E12">
        <f>36*0.55</f>
        <v>19.8</v>
      </c>
      <c r="F12" t="s">
        <v>74</v>
      </c>
    </row>
    <row r="13" spans="1:6" x14ac:dyDescent="0.25">
      <c r="A13">
        <v>50123</v>
      </c>
      <c r="B13" t="s">
        <v>120</v>
      </c>
      <c r="C13" t="s">
        <v>32</v>
      </c>
      <c r="D13" t="s">
        <v>126</v>
      </c>
      <c r="E13">
        <f>24*0.8</f>
        <v>19.200000000000003</v>
      </c>
      <c r="F13" t="s">
        <v>74</v>
      </c>
    </row>
    <row r="14" spans="1:6" x14ac:dyDescent="0.25">
      <c r="A14">
        <v>50124</v>
      </c>
      <c r="B14" t="s">
        <v>121</v>
      </c>
      <c r="C14" t="s">
        <v>32</v>
      </c>
      <c r="D14" t="s">
        <v>125</v>
      </c>
      <c r="E14">
        <v>20</v>
      </c>
      <c r="F14" t="s">
        <v>74</v>
      </c>
    </row>
    <row r="15" spans="1:6" x14ac:dyDescent="0.25">
      <c r="A15" t="s">
        <v>33</v>
      </c>
      <c r="B15" t="s">
        <v>34</v>
      </c>
      <c r="C15" t="s">
        <v>27</v>
      </c>
      <c r="D15" t="s">
        <v>35</v>
      </c>
      <c r="E15">
        <v>40</v>
      </c>
      <c r="F15" t="s">
        <v>28</v>
      </c>
    </row>
    <row r="16" spans="1:6" x14ac:dyDescent="0.25">
      <c r="A16" t="s">
        <v>36</v>
      </c>
      <c r="B16" t="s">
        <v>37</v>
      </c>
      <c r="C16" t="s">
        <v>27</v>
      </c>
      <c r="D16" t="s">
        <v>35</v>
      </c>
      <c r="E16">
        <v>40</v>
      </c>
      <c r="F16" t="s">
        <v>28</v>
      </c>
    </row>
    <row r="17" spans="1:6" x14ac:dyDescent="0.25">
      <c r="A17" t="s">
        <v>38</v>
      </c>
      <c r="B17" t="s">
        <v>39</v>
      </c>
      <c r="C17" t="s">
        <v>27</v>
      </c>
      <c r="D17" t="s">
        <v>35</v>
      </c>
      <c r="E17">
        <v>40</v>
      </c>
      <c r="F17" t="s">
        <v>28</v>
      </c>
    </row>
    <row r="18" spans="1:6" x14ac:dyDescent="0.25">
      <c r="A18" t="s">
        <v>40</v>
      </c>
      <c r="B18" t="s">
        <v>41</v>
      </c>
      <c r="C18" t="s">
        <v>27</v>
      </c>
      <c r="D18" t="s">
        <v>35</v>
      </c>
      <c r="E18">
        <v>40</v>
      </c>
      <c r="F18" t="s">
        <v>28</v>
      </c>
    </row>
    <row r="19" spans="1:6" x14ac:dyDescent="0.25">
      <c r="A19" t="s">
        <v>42</v>
      </c>
      <c r="B19" t="s">
        <v>43</v>
      </c>
      <c r="C19" t="s">
        <v>27</v>
      </c>
      <c r="D19" t="s">
        <v>35</v>
      </c>
      <c r="E19">
        <v>40</v>
      </c>
      <c r="F19" t="s">
        <v>28</v>
      </c>
    </row>
    <row r="20" spans="1:6" x14ac:dyDescent="0.25">
      <c r="A20" t="s">
        <v>44</v>
      </c>
      <c r="B20" t="s">
        <v>45</v>
      </c>
      <c r="C20" t="s">
        <v>27</v>
      </c>
      <c r="D20" t="s">
        <v>35</v>
      </c>
      <c r="E20">
        <v>40</v>
      </c>
      <c r="F20" t="s">
        <v>28</v>
      </c>
    </row>
    <row r="21" spans="1:6" x14ac:dyDescent="0.25">
      <c r="A21" t="s">
        <v>83</v>
      </c>
      <c r="B21" s="2" t="s">
        <v>78</v>
      </c>
      <c r="C21" t="s">
        <v>27</v>
      </c>
      <c r="D21" t="s">
        <v>35</v>
      </c>
      <c r="E21">
        <v>40</v>
      </c>
      <c r="F21" t="s">
        <v>28</v>
      </c>
    </row>
    <row r="22" spans="1:6" x14ac:dyDescent="0.25">
      <c r="A22" t="s">
        <v>85</v>
      </c>
      <c r="B22" s="2" t="s">
        <v>79</v>
      </c>
      <c r="C22" t="s">
        <v>27</v>
      </c>
      <c r="D22" t="s">
        <v>35</v>
      </c>
      <c r="E22">
        <v>40</v>
      </c>
      <c r="F22" t="s">
        <v>28</v>
      </c>
    </row>
    <row r="23" spans="1:6" x14ac:dyDescent="0.25">
      <c r="A23" t="s">
        <v>86</v>
      </c>
      <c r="B23" s="2" t="s">
        <v>80</v>
      </c>
      <c r="C23" t="s">
        <v>27</v>
      </c>
      <c r="D23" t="s">
        <v>35</v>
      </c>
      <c r="E23">
        <v>40</v>
      </c>
      <c r="F23" t="s">
        <v>28</v>
      </c>
    </row>
    <row r="24" spans="1:6" x14ac:dyDescent="0.25">
      <c r="A24" t="s">
        <v>87</v>
      </c>
      <c r="B24" s="2" t="s">
        <v>81</v>
      </c>
      <c r="C24" t="s">
        <v>27</v>
      </c>
      <c r="D24" t="s">
        <v>35</v>
      </c>
      <c r="E24">
        <v>40</v>
      </c>
      <c r="F24" t="s">
        <v>28</v>
      </c>
    </row>
    <row r="25" spans="1:6" x14ac:dyDescent="0.25">
      <c r="A25" t="s">
        <v>84</v>
      </c>
      <c r="B25" s="2" t="s">
        <v>82</v>
      </c>
      <c r="C25" t="s">
        <v>27</v>
      </c>
      <c r="D25" t="s">
        <v>35</v>
      </c>
      <c r="E25">
        <v>40</v>
      </c>
      <c r="F25" t="s">
        <v>28</v>
      </c>
    </row>
    <row r="26" spans="1:6" x14ac:dyDescent="0.25">
      <c r="A26" s="4" t="s">
        <v>88</v>
      </c>
      <c r="B26" s="4" t="s">
        <v>89</v>
      </c>
      <c r="C26" t="s">
        <v>27</v>
      </c>
      <c r="D26" t="s">
        <v>35</v>
      </c>
      <c r="E26">
        <v>40</v>
      </c>
      <c r="F26" t="s">
        <v>28</v>
      </c>
    </row>
    <row r="27" spans="1:6" x14ac:dyDescent="0.25">
      <c r="A27" s="4" t="s">
        <v>90</v>
      </c>
      <c r="B27" s="4" t="s">
        <v>91</v>
      </c>
      <c r="C27" t="s">
        <v>27</v>
      </c>
      <c r="D27" t="s">
        <v>35</v>
      </c>
      <c r="E27">
        <v>40</v>
      </c>
      <c r="F27" t="s">
        <v>28</v>
      </c>
    </row>
    <row r="28" spans="1:6" x14ac:dyDescent="0.25">
      <c r="A28" s="4" t="s">
        <v>92</v>
      </c>
      <c r="B28" s="4" t="s">
        <v>93</v>
      </c>
      <c r="C28" t="s">
        <v>27</v>
      </c>
      <c r="D28" t="s">
        <v>35</v>
      </c>
      <c r="E28">
        <v>40</v>
      </c>
      <c r="F28" t="s">
        <v>28</v>
      </c>
    </row>
    <row r="29" spans="1:6" x14ac:dyDescent="0.25">
      <c r="A29" s="4" t="s">
        <v>94</v>
      </c>
      <c r="B29" s="4" t="s">
        <v>95</v>
      </c>
      <c r="C29" t="s">
        <v>27</v>
      </c>
      <c r="D29" t="s">
        <v>35</v>
      </c>
      <c r="E29">
        <v>40</v>
      </c>
      <c r="F29" t="s">
        <v>28</v>
      </c>
    </row>
    <row r="30" spans="1:6" x14ac:dyDescent="0.25">
      <c r="A30" s="4" t="s">
        <v>96</v>
      </c>
      <c r="B30" s="4" t="s">
        <v>97</v>
      </c>
      <c r="C30" t="s">
        <v>27</v>
      </c>
      <c r="D30" t="s">
        <v>35</v>
      </c>
      <c r="E30">
        <v>40</v>
      </c>
      <c r="F30" t="s">
        <v>28</v>
      </c>
    </row>
    <row r="31" spans="1:6" x14ac:dyDescent="0.25">
      <c r="A31" s="4" t="s">
        <v>98</v>
      </c>
      <c r="B31" s="4" t="s">
        <v>99</v>
      </c>
      <c r="C31" t="s">
        <v>27</v>
      </c>
      <c r="D31" t="s">
        <v>56</v>
      </c>
      <c r="E31">
        <v>50</v>
      </c>
      <c r="F31" t="s">
        <v>28</v>
      </c>
    </row>
    <row r="32" spans="1:6" x14ac:dyDescent="0.25">
      <c r="A32" s="4" t="s">
        <v>100</v>
      </c>
      <c r="B32" s="4" t="s">
        <v>101</v>
      </c>
      <c r="C32" t="s">
        <v>27</v>
      </c>
      <c r="D32" t="s">
        <v>56</v>
      </c>
      <c r="E32">
        <v>50</v>
      </c>
      <c r="F32" t="s">
        <v>28</v>
      </c>
    </row>
    <row r="33" spans="1:6" x14ac:dyDescent="0.25">
      <c r="A33" s="4" t="s">
        <v>102</v>
      </c>
      <c r="B33" s="4" t="s">
        <v>103</v>
      </c>
      <c r="C33" t="s">
        <v>27</v>
      </c>
      <c r="D33" t="s">
        <v>56</v>
      </c>
      <c r="E33">
        <v>50</v>
      </c>
      <c r="F33" t="s">
        <v>28</v>
      </c>
    </row>
    <row r="34" spans="1:6" x14ac:dyDescent="0.25">
      <c r="A34" s="4" t="s">
        <v>104</v>
      </c>
      <c r="B34" s="4" t="s">
        <v>105</v>
      </c>
      <c r="C34" t="s">
        <v>27</v>
      </c>
      <c r="D34" t="s">
        <v>56</v>
      </c>
      <c r="E34">
        <v>50</v>
      </c>
      <c r="F34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948EC-4005-4BAB-A1BA-BE3DC51519B4}">
  <dimension ref="A1:F19"/>
  <sheetViews>
    <sheetView workbookViewId="0">
      <selection activeCell="B20" sqref="B20"/>
    </sheetView>
  </sheetViews>
  <sheetFormatPr defaultRowHeight="15" x14ac:dyDescent="0.25"/>
  <cols>
    <col min="1" max="1" width="12.7109375" bestFit="1" customWidth="1"/>
    <col min="2" max="2" width="32.5703125" bestFit="1" customWidth="1"/>
    <col min="3" max="3" width="10.140625" bestFit="1" customWidth="1"/>
    <col min="5" max="5" width="12" bestFit="1" customWidth="1"/>
    <col min="6" max="6" width="11" bestFit="1" customWidth="1"/>
  </cols>
  <sheetData>
    <row r="1" spans="1:6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72</v>
      </c>
      <c r="F1" s="9" t="s">
        <v>73</v>
      </c>
    </row>
    <row r="2" spans="1:6" s="6" customFormat="1" x14ac:dyDescent="0.25">
      <c r="A2" s="5" t="s">
        <v>106</v>
      </c>
      <c r="B2" s="5" t="s">
        <v>107</v>
      </c>
      <c r="C2" s="6" t="s">
        <v>127</v>
      </c>
      <c r="D2" s="6" t="s">
        <v>17</v>
      </c>
      <c r="E2" s="8">
        <v>4</v>
      </c>
      <c r="F2" s="6" t="s">
        <v>74</v>
      </c>
    </row>
    <row r="3" spans="1:6" s="6" customFormat="1" x14ac:dyDescent="0.25">
      <c r="A3" s="6" t="s">
        <v>48</v>
      </c>
      <c r="B3" s="6" t="s">
        <v>49</v>
      </c>
      <c r="C3" s="6" t="s">
        <v>127</v>
      </c>
      <c r="D3" s="6" t="s">
        <v>31</v>
      </c>
      <c r="E3" s="8">
        <v>10</v>
      </c>
      <c r="F3" s="6" t="s">
        <v>74</v>
      </c>
    </row>
    <row r="4" spans="1:6" s="6" customFormat="1" x14ac:dyDescent="0.25">
      <c r="A4" s="6" t="s">
        <v>46</v>
      </c>
      <c r="B4" s="6" t="s">
        <v>47</v>
      </c>
      <c r="C4" s="6" t="s">
        <v>127</v>
      </c>
      <c r="D4" s="6" t="s">
        <v>17</v>
      </c>
      <c r="E4" s="8">
        <v>4</v>
      </c>
      <c r="F4" s="6" t="s">
        <v>74</v>
      </c>
    </row>
    <row r="5" spans="1:6" s="6" customFormat="1" x14ac:dyDescent="0.25">
      <c r="A5" s="6">
        <v>30104</v>
      </c>
      <c r="B5" s="6" t="s">
        <v>108</v>
      </c>
      <c r="C5" s="6" t="s">
        <v>127</v>
      </c>
      <c r="D5" s="6" t="s">
        <v>109</v>
      </c>
      <c r="E5" s="8">
        <f>40/2.2046</f>
        <v>18.143880976140796</v>
      </c>
      <c r="F5" s="6" t="s">
        <v>74</v>
      </c>
    </row>
    <row r="6" spans="1:6" s="6" customFormat="1" x14ac:dyDescent="0.25">
      <c r="A6" s="6">
        <v>20207</v>
      </c>
      <c r="B6" s="6" t="s">
        <v>13</v>
      </c>
      <c r="C6" s="6" t="s">
        <v>127</v>
      </c>
      <c r="D6" s="6" t="s">
        <v>14</v>
      </c>
      <c r="E6" s="8">
        <v>4.54</v>
      </c>
      <c r="F6" s="6" t="s">
        <v>74</v>
      </c>
    </row>
    <row r="7" spans="1:6" s="6" customFormat="1" x14ac:dyDescent="0.25">
      <c r="A7" s="6">
        <v>40110</v>
      </c>
      <c r="B7" s="6" t="s">
        <v>22</v>
      </c>
      <c r="C7" s="6" t="s">
        <v>127</v>
      </c>
      <c r="D7" s="6" t="s">
        <v>23</v>
      </c>
      <c r="E7" s="8">
        <f>4*3.78</f>
        <v>15.12</v>
      </c>
      <c r="F7" s="6" t="s">
        <v>75</v>
      </c>
    </row>
    <row r="8" spans="1:6" s="6" customFormat="1" x14ac:dyDescent="0.25">
      <c r="A8" s="6" t="s">
        <v>20</v>
      </c>
      <c r="B8" s="6" t="s">
        <v>21</v>
      </c>
      <c r="C8" s="6" t="s">
        <v>127</v>
      </c>
      <c r="D8" s="6" t="s">
        <v>112</v>
      </c>
      <c r="E8" s="8">
        <f>10*1.7*33.814</f>
        <v>574.83799999999997</v>
      </c>
      <c r="F8" s="6" t="s">
        <v>75</v>
      </c>
    </row>
    <row r="9" spans="1:6" s="6" customFormat="1" x14ac:dyDescent="0.25">
      <c r="A9" s="6">
        <v>40108</v>
      </c>
      <c r="B9" s="6" t="s">
        <v>113</v>
      </c>
      <c r="C9" s="6" t="s">
        <v>127</v>
      </c>
      <c r="D9" s="6" t="s">
        <v>111</v>
      </c>
      <c r="E9" s="8">
        <f>2.84*6*33.814</f>
        <v>576.19056</v>
      </c>
      <c r="F9" s="6" t="s">
        <v>75</v>
      </c>
    </row>
    <row r="10" spans="1:6" s="6" customFormat="1" x14ac:dyDescent="0.25">
      <c r="A10" s="6">
        <v>40107</v>
      </c>
      <c r="B10" s="6" t="s">
        <v>110</v>
      </c>
      <c r="C10" s="6" t="s">
        <v>127</v>
      </c>
      <c r="D10" s="6" t="s">
        <v>111</v>
      </c>
      <c r="E10" s="8">
        <f>2.84*6*33.814</f>
        <v>576.19056</v>
      </c>
      <c r="F10" s="6" t="s">
        <v>75</v>
      </c>
    </row>
    <row r="11" spans="1:6" s="6" customFormat="1" x14ac:dyDescent="0.25">
      <c r="A11" s="6" t="s">
        <v>114</v>
      </c>
      <c r="B11" s="6" t="s">
        <v>115</v>
      </c>
      <c r="C11" s="6" t="s">
        <v>127</v>
      </c>
      <c r="D11" s="6" t="s">
        <v>112</v>
      </c>
      <c r="E11" s="8">
        <f>10*1.7*33.814</f>
        <v>574.83799999999997</v>
      </c>
      <c r="F11" s="6" t="s">
        <v>75</v>
      </c>
    </row>
    <row r="12" spans="1:6" s="6" customFormat="1" x14ac:dyDescent="0.25">
      <c r="A12" s="6">
        <v>40106</v>
      </c>
      <c r="B12" s="6" t="s">
        <v>18</v>
      </c>
      <c r="C12" s="6" t="s">
        <v>127</v>
      </c>
      <c r="D12" s="6" t="s">
        <v>19</v>
      </c>
      <c r="E12" s="8">
        <v>600</v>
      </c>
      <c r="F12" s="6" t="s">
        <v>75</v>
      </c>
    </row>
    <row r="13" spans="1:6" s="6" customFormat="1" x14ac:dyDescent="0.25">
      <c r="A13" s="6">
        <v>40111</v>
      </c>
      <c r="B13" s="6" t="s">
        <v>24</v>
      </c>
      <c r="C13" s="6" t="s">
        <v>127</v>
      </c>
      <c r="D13" s="6" t="s">
        <v>25</v>
      </c>
      <c r="E13" s="8">
        <f>16*33.814</f>
        <v>541.024</v>
      </c>
      <c r="F13" s="7" t="s">
        <v>75</v>
      </c>
    </row>
    <row r="14" spans="1:6" s="6" customFormat="1" x14ac:dyDescent="0.25">
      <c r="A14" s="6">
        <v>20214</v>
      </c>
      <c r="B14" s="6" t="s">
        <v>15</v>
      </c>
      <c r="C14" s="6" t="s">
        <v>127</v>
      </c>
      <c r="D14" s="6" t="s">
        <v>16</v>
      </c>
      <c r="E14" s="8">
        <v>6.8</v>
      </c>
      <c r="F14" s="7" t="s">
        <v>74</v>
      </c>
    </row>
    <row r="15" spans="1:6" s="6" customFormat="1" x14ac:dyDescent="0.25">
      <c r="A15" s="6" t="s">
        <v>67</v>
      </c>
      <c r="B15" s="6" t="s">
        <v>68</v>
      </c>
      <c r="C15" s="6" t="s">
        <v>127</v>
      </c>
      <c r="D15" s="6" t="s">
        <v>10</v>
      </c>
      <c r="E15" s="8">
        <v>9.07</v>
      </c>
      <c r="F15" s="7" t="s">
        <v>74</v>
      </c>
    </row>
    <row r="16" spans="1:6" s="6" customFormat="1" x14ac:dyDescent="0.25">
      <c r="A16" s="6">
        <v>20203</v>
      </c>
      <c r="B16" s="6" t="s">
        <v>9</v>
      </c>
      <c r="C16" s="6" t="s">
        <v>127</v>
      </c>
      <c r="D16" s="6" t="s">
        <v>10</v>
      </c>
      <c r="E16" s="8">
        <v>9.07</v>
      </c>
      <c r="F16" s="7" t="s">
        <v>74</v>
      </c>
    </row>
    <row r="17" spans="1:6" s="6" customFormat="1" x14ac:dyDescent="0.25">
      <c r="A17" s="6" t="s">
        <v>65</v>
      </c>
      <c r="B17" s="6" t="s">
        <v>66</v>
      </c>
      <c r="C17" s="6" t="s">
        <v>127</v>
      </c>
      <c r="D17" s="6" t="s">
        <v>12</v>
      </c>
      <c r="E17" s="8">
        <v>5</v>
      </c>
      <c r="F17" s="7" t="s">
        <v>74</v>
      </c>
    </row>
    <row r="18" spans="1:6" s="6" customFormat="1" x14ac:dyDescent="0.25">
      <c r="A18" s="6" t="s">
        <v>60</v>
      </c>
      <c r="B18" s="6" t="s">
        <v>61</v>
      </c>
      <c r="C18" s="6" t="s">
        <v>127</v>
      </c>
      <c r="D18" s="6" t="s">
        <v>11</v>
      </c>
      <c r="E18" s="8">
        <f>2*2.27</f>
        <v>4.54</v>
      </c>
      <c r="F18" s="7" t="s">
        <v>74</v>
      </c>
    </row>
    <row r="19" spans="1:6" s="6" customFormat="1" x14ac:dyDescent="0.25">
      <c r="A19" s="6" t="s">
        <v>62</v>
      </c>
      <c r="B19" s="6" t="s">
        <v>63</v>
      </c>
      <c r="C19" s="6" t="s">
        <v>127</v>
      </c>
      <c r="D19" s="6" t="s">
        <v>64</v>
      </c>
      <c r="E19" s="8">
        <v>6</v>
      </c>
      <c r="F19" s="7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Primary</vt:lpstr>
      <vt:lpstr>Secondary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Etherington</dc:creator>
  <cp:lastModifiedBy>James Etherington</cp:lastModifiedBy>
  <dcterms:created xsi:type="dcterms:W3CDTF">2026-04-23T15:39:51Z</dcterms:created>
  <dcterms:modified xsi:type="dcterms:W3CDTF">2026-04-24T13:35:12Z</dcterms:modified>
</cp:coreProperties>
</file>