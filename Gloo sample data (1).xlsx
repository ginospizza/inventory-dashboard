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8700" windowHeight="10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1" i="1" l="1"/>
  <c r="Z31" i="1" s="1"/>
  <c r="X31" i="1"/>
  <c r="V31" i="1"/>
  <c r="U31" i="1"/>
  <c r="AB31" i="1" s="1"/>
  <c r="S31" i="1"/>
  <c r="R31" i="1"/>
  <c r="T31" i="1" s="1"/>
  <c r="Q31" i="1"/>
  <c r="P31" i="1"/>
  <c r="O31" i="1"/>
  <c r="Y30" i="1"/>
  <c r="Z30" i="1" s="1"/>
  <c r="X30" i="1"/>
  <c r="W30" i="1"/>
  <c r="V30" i="1"/>
  <c r="U30" i="1"/>
  <c r="S30" i="1"/>
  <c r="T30" i="1" s="1"/>
  <c r="R30" i="1"/>
  <c r="P30" i="1"/>
  <c r="O30" i="1"/>
  <c r="AA30" i="1" s="1"/>
  <c r="Y29" i="1"/>
  <c r="Z29" i="1" s="1"/>
  <c r="X29" i="1"/>
  <c r="V29" i="1"/>
  <c r="U29" i="1"/>
  <c r="AB29" i="1" s="1"/>
  <c r="S29" i="1"/>
  <c r="R29" i="1"/>
  <c r="T29" i="1" s="1"/>
  <c r="Q29" i="1"/>
  <c r="P29" i="1"/>
  <c r="O29" i="1"/>
  <c r="Y28" i="1"/>
  <c r="Z28" i="1" s="1"/>
  <c r="X28" i="1"/>
  <c r="W28" i="1"/>
  <c r="V28" i="1"/>
  <c r="U28" i="1"/>
  <c r="S28" i="1"/>
  <c r="T28" i="1" s="1"/>
  <c r="R28" i="1"/>
  <c r="P28" i="1"/>
  <c r="O28" i="1"/>
  <c r="AB28" i="1" s="1"/>
  <c r="Y27" i="1"/>
  <c r="Z27" i="1" s="1"/>
  <c r="X27" i="1"/>
  <c r="V27" i="1"/>
  <c r="U27" i="1"/>
  <c r="AB27" i="1" s="1"/>
  <c r="S27" i="1"/>
  <c r="R27" i="1"/>
  <c r="T27" i="1" s="1"/>
  <c r="Q27" i="1"/>
  <c r="P27" i="1"/>
  <c r="O27" i="1"/>
  <c r="Y26" i="1"/>
  <c r="Z26" i="1" s="1"/>
  <c r="X26" i="1"/>
  <c r="W26" i="1"/>
  <c r="V26" i="1"/>
  <c r="U26" i="1"/>
  <c r="S26" i="1"/>
  <c r="T26" i="1" s="1"/>
  <c r="R26" i="1"/>
  <c r="P26" i="1"/>
  <c r="O26" i="1"/>
  <c r="Q26" i="1" s="1"/>
  <c r="Y25" i="1"/>
  <c r="Z25" i="1" s="1"/>
  <c r="X25" i="1"/>
  <c r="V25" i="1"/>
  <c r="U25" i="1"/>
  <c r="AB25" i="1" s="1"/>
  <c r="S25" i="1"/>
  <c r="R25" i="1"/>
  <c r="T25" i="1" s="1"/>
  <c r="Q25" i="1"/>
  <c r="P25" i="1"/>
  <c r="O25" i="1"/>
  <c r="Y24" i="1"/>
  <c r="Z24" i="1" s="1"/>
  <c r="X24" i="1"/>
  <c r="W24" i="1"/>
  <c r="V24" i="1"/>
  <c r="U24" i="1"/>
  <c r="S24" i="1"/>
  <c r="T24" i="1" s="1"/>
  <c r="R24" i="1"/>
  <c r="P24" i="1"/>
  <c r="O24" i="1"/>
  <c r="AB24" i="1" s="1"/>
  <c r="Y23" i="1"/>
  <c r="Z23" i="1" s="1"/>
  <c r="X23" i="1"/>
  <c r="V23" i="1"/>
  <c r="U23" i="1"/>
  <c r="AB23" i="1" s="1"/>
  <c r="S23" i="1"/>
  <c r="R23" i="1"/>
  <c r="T23" i="1" s="1"/>
  <c r="Q23" i="1"/>
  <c r="P23" i="1"/>
  <c r="O23" i="1"/>
  <c r="Y22" i="1"/>
  <c r="Z22" i="1" s="1"/>
  <c r="X22" i="1"/>
  <c r="W22" i="1"/>
  <c r="V22" i="1"/>
  <c r="U22" i="1"/>
  <c r="S22" i="1"/>
  <c r="T22" i="1" s="1"/>
  <c r="R22" i="1"/>
  <c r="P22" i="1"/>
  <c r="O22" i="1"/>
  <c r="AB22" i="1" s="1"/>
  <c r="Y21" i="1"/>
  <c r="Z21" i="1" s="1"/>
  <c r="X21" i="1"/>
  <c r="V21" i="1"/>
  <c r="U21" i="1"/>
  <c r="AB21" i="1" s="1"/>
  <c r="S21" i="1"/>
  <c r="R21" i="1"/>
  <c r="T21" i="1" s="1"/>
  <c r="Q21" i="1"/>
  <c r="P21" i="1"/>
  <c r="O21" i="1"/>
  <c r="Y20" i="1"/>
  <c r="Z20" i="1" s="1"/>
  <c r="X20" i="1"/>
  <c r="W20" i="1"/>
  <c r="V20" i="1"/>
  <c r="U20" i="1"/>
  <c r="S20" i="1"/>
  <c r="T20" i="1" s="1"/>
  <c r="R20" i="1"/>
  <c r="P20" i="1"/>
  <c r="O20" i="1"/>
  <c r="Q20" i="1" s="1"/>
  <c r="Y19" i="1"/>
  <c r="Z19" i="1" s="1"/>
  <c r="X19" i="1"/>
  <c r="V19" i="1"/>
  <c r="U19" i="1"/>
  <c r="AB19" i="1" s="1"/>
  <c r="S19" i="1"/>
  <c r="R19" i="1"/>
  <c r="T19" i="1" s="1"/>
  <c r="Q19" i="1"/>
  <c r="P19" i="1"/>
  <c r="O19" i="1"/>
  <c r="Y18" i="1"/>
  <c r="Z18" i="1" s="1"/>
  <c r="X18" i="1"/>
  <c r="W18" i="1"/>
  <c r="V18" i="1"/>
  <c r="U18" i="1"/>
  <c r="S18" i="1"/>
  <c r="T18" i="1" s="1"/>
  <c r="R18" i="1"/>
  <c r="P18" i="1"/>
  <c r="O18" i="1"/>
  <c r="AB18" i="1" s="1"/>
  <c r="Y17" i="1"/>
  <c r="Z17" i="1" s="1"/>
  <c r="X17" i="1"/>
  <c r="V17" i="1"/>
  <c r="U17" i="1"/>
  <c r="AB17" i="1" s="1"/>
  <c r="S17" i="1"/>
  <c r="R17" i="1"/>
  <c r="T17" i="1" s="1"/>
  <c r="Q17" i="1"/>
  <c r="P17" i="1"/>
  <c r="O17" i="1"/>
  <c r="Y16" i="1"/>
  <c r="Z16" i="1" s="1"/>
  <c r="X16" i="1"/>
  <c r="W16" i="1"/>
  <c r="V16" i="1"/>
  <c r="U16" i="1"/>
  <c r="S16" i="1"/>
  <c r="T16" i="1" s="1"/>
  <c r="R16" i="1"/>
  <c r="P16" i="1"/>
  <c r="O16" i="1"/>
  <c r="Q16" i="1" s="1"/>
  <c r="Y15" i="1"/>
  <c r="Z15" i="1" s="1"/>
  <c r="X15" i="1"/>
  <c r="V15" i="1"/>
  <c r="U15" i="1"/>
  <c r="AB15" i="1" s="1"/>
  <c r="S15" i="1"/>
  <c r="R15" i="1"/>
  <c r="T15" i="1" s="1"/>
  <c r="Q15" i="1"/>
  <c r="P15" i="1"/>
  <c r="O15" i="1"/>
  <c r="Y14" i="1"/>
  <c r="Z14" i="1" s="1"/>
  <c r="X14" i="1"/>
  <c r="W14" i="1"/>
  <c r="V14" i="1"/>
  <c r="U14" i="1"/>
  <c r="S14" i="1"/>
  <c r="T14" i="1" s="1"/>
  <c r="R14" i="1"/>
  <c r="P14" i="1"/>
  <c r="O14" i="1"/>
  <c r="AB14" i="1" s="1"/>
  <c r="Y13" i="1"/>
  <c r="Z13" i="1" s="1"/>
  <c r="X13" i="1"/>
  <c r="V13" i="1"/>
  <c r="U13" i="1"/>
  <c r="AB13" i="1" s="1"/>
  <c r="S13" i="1"/>
  <c r="R13" i="1"/>
  <c r="T13" i="1" s="1"/>
  <c r="Q13" i="1"/>
  <c r="P13" i="1"/>
  <c r="O13" i="1"/>
  <c r="Y12" i="1"/>
  <c r="Z12" i="1" s="1"/>
  <c r="X12" i="1"/>
  <c r="W12" i="1"/>
  <c r="V12" i="1"/>
  <c r="U12" i="1"/>
  <c r="S12" i="1"/>
  <c r="T12" i="1" s="1"/>
  <c r="R12" i="1"/>
  <c r="P12" i="1"/>
  <c r="O12" i="1"/>
  <c r="AB12" i="1" s="1"/>
  <c r="Y11" i="1"/>
  <c r="Z11" i="1" s="1"/>
  <c r="X11" i="1"/>
  <c r="V11" i="1"/>
  <c r="U11" i="1"/>
  <c r="AB11" i="1" s="1"/>
  <c r="S11" i="1"/>
  <c r="R11" i="1"/>
  <c r="T11" i="1" s="1"/>
  <c r="Q11" i="1"/>
  <c r="P11" i="1"/>
  <c r="O11" i="1"/>
  <c r="Z10" i="1"/>
  <c r="Y10" i="1"/>
  <c r="X10" i="1"/>
  <c r="W10" i="1"/>
  <c r="V10" i="1"/>
  <c r="U10" i="1"/>
  <c r="S10" i="1"/>
  <c r="T10" i="1" s="1"/>
  <c r="R10" i="1"/>
  <c r="P10" i="1"/>
  <c r="O10" i="1"/>
  <c r="Q10" i="1" s="1"/>
  <c r="Y9" i="1"/>
  <c r="Z9" i="1" s="1"/>
  <c r="X9" i="1"/>
  <c r="V9" i="1"/>
  <c r="U9" i="1"/>
  <c r="AB9" i="1" s="1"/>
  <c r="S9" i="1"/>
  <c r="R9" i="1"/>
  <c r="T9" i="1" s="1"/>
  <c r="Q9" i="1"/>
  <c r="P9" i="1"/>
  <c r="O9" i="1"/>
  <c r="Z8" i="1"/>
  <c r="Y8" i="1"/>
  <c r="X8" i="1"/>
  <c r="W8" i="1"/>
  <c r="V8" i="1"/>
  <c r="U8" i="1"/>
  <c r="S8" i="1"/>
  <c r="T8" i="1" s="1"/>
  <c r="R8" i="1"/>
  <c r="P8" i="1"/>
  <c r="O8" i="1"/>
  <c r="AB8" i="1" s="1"/>
  <c r="Y7" i="1"/>
  <c r="Z7" i="1" s="1"/>
  <c r="X7" i="1"/>
  <c r="V7" i="1"/>
  <c r="U7" i="1"/>
  <c r="AB7" i="1" s="1"/>
  <c r="S7" i="1"/>
  <c r="R7" i="1"/>
  <c r="T7" i="1" s="1"/>
  <c r="Q7" i="1"/>
  <c r="P7" i="1"/>
  <c r="O7" i="1"/>
  <c r="Z6" i="1"/>
  <c r="Y6" i="1"/>
  <c r="X6" i="1"/>
  <c r="W6" i="1"/>
  <c r="V6" i="1"/>
  <c r="U6" i="1"/>
  <c r="S6" i="1"/>
  <c r="T6" i="1" s="1"/>
  <c r="R6" i="1"/>
  <c r="P6" i="1"/>
  <c r="O6" i="1"/>
  <c r="AA6" i="1" s="1"/>
  <c r="Y5" i="1"/>
  <c r="Z5" i="1" s="1"/>
  <c r="X5" i="1"/>
  <c r="V5" i="1"/>
  <c r="U5" i="1"/>
  <c r="AB5" i="1" s="1"/>
  <c r="S5" i="1"/>
  <c r="R5" i="1"/>
  <c r="T5" i="1" s="1"/>
  <c r="Q5" i="1"/>
  <c r="P5" i="1"/>
  <c r="O5" i="1"/>
  <c r="Y4" i="1"/>
  <c r="Z4" i="1" s="1"/>
  <c r="X4" i="1"/>
  <c r="W4" i="1"/>
  <c r="V4" i="1"/>
  <c r="U4" i="1"/>
  <c r="S4" i="1"/>
  <c r="T4" i="1" s="1"/>
  <c r="R4" i="1"/>
  <c r="P4" i="1"/>
  <c r="O4" i="1"/>
  <c r="AB4" i="1" s="1"/>
  <c r="Y3" i="1"/>
  <c r="Z3" i="1" s="1"/>
  <c r="X3" i="1"/>
  <c r="V3" i="1"/>
  <c r="U3" i="1"/>
  <c r="AB3" i="1" s="1"/>
  <c r="S3" i="1"/>
  <c r="R3" i="1"/>
  <c r="T3" i="1" s="1"/>
  <c r="Q3" i="1"/>
  <c r="P3" i="1"/>
  <c r="O3" i="1"/>
  <c r="Y2" i="1"/>
  <c r="Z2" i="1" s="1"/>
  <c r="X2" i="1"/>
  <c r="W2" i="1"/>
  <c r="V2" i="1"/>
  <c r="U2" i="1"/>
  <c r="S2" i="1"/>
  <c r="T2" i="1" s="1"/>
  <c r="R2" i="1"/>
  <c r="P2" i="1"/>
  <c r="O2" i="1"/>
  <c r="Q2" i="1" s="1"/>
  <c r="AA2" i="1" l="1"/>
  <c r="AA4" i="1"/>
  <c r="AA10" i="1"/>
  <c r="AA12" i="1"/>
  <c r="AA14" i="1"/>
  <c r="AA16" i="1"/>
  <c r="AA18" i="1"/>
  <c r="AA20" i="1"/>
  <c r="AA22" i="1"/>
  <c r="AA24" i="1"/>
  <c r="AA26" i="1"/>
  <c r="AA28" i="1"/>
  <c r="AB2" i="1"/>
  <c r="AB6" i="1"/>
  <c r="AB10" i="1"/>
  <c r="AB16" i="1"/>
  <c r="AB20" i="1"/>
  <c r="AB26" i="1"/>
  <c r="AB30" i="1"/>
  <c r="W3" i="1"/>
  <c r="AA3" i="1"/>
  <c r="Q4" i="1"/>
  <c r="W5" i="1"/>
  <c r="AA5" i="1"/>
  <c r="Q6" i="1"/>
  <c r="W7" i="1"/>
  <c r="AA7" i="1"/>
  <c r="Q8" i="1"/>
  <c r="W9" i="1"/>
  <c r="AA9" i="1"/>
  <c r="W11" i="1"/>
  <c r="AA11" i="1"/>
  <c r="Q12" i="1"/>
  <c r="W13" i="1"/>
  <c r="AA13" i="1"/>
  <c r="Q14" i="1"/>
  <c r="W15" i="1"/>
  <c r="AA15" i="1"/>
  <c r="W17" i="1"/>
  <c r="AA17" i="1"/>
  <c r="Q18" i="1"/>
  <c r="W19" i="1"/>
  <c r="AA19" i="1"/>
  <c r="W21" i="1"/>
  <c r="AA21" i="1"/>
  <c r="Q22" i="1"/>
  <c r="W23" i="1"/>
  <c r="AA23" i="1"/>
  <c r="Q24" i="1"/>
  <c r="W25" i="1"/>
  <c r="AA25" i="1"/>
  <c r="W27" i="1"/>
  <c r="AA27" i="1"/>
  <c r="Q28" i="1"/>
  <c r="W29" i="1"/>
  <c r="AA29" i="1"/>
  <c r="Q30" i="1"/>
  <c r="W31" i="1"/>
  <c r="AA31" i="1"/>
  <c r="AA8" i="1"/>
</calcChain>
</file>

<file path=xl/sharedStrings.xml><?xml version="1.0" encoding="utf-8"?>
<sst xmlns="http://schemas.openxmlformats.org/spreadsheetml/2006/main" count="58" uniqueCount="57">
  <si>
    <t>Row Labels</t>
  </si>
  <si>
    <t>SHRED CHEESE (4x2.27 Kg)</t>
  </si>
  <si>
    <t xml:space="preserve"> Mozz Cheese - 10kg</t>
  </si>
  <si>
    <t>10*2.4KG GOLD Cheese</t>
  </si>
  <si>
    <t>IQF 2x5KG CHEESE</t>
  </si>
  <si>
    <t>Ginos Pizza Sauce 6x100 fl.oz</t>
  </si>
  <si>
    <t>V Food Premium Pizza Sauce 6x2.84L</t>
  </si>
  <si>
    <t>V Food Flour (20 Kg)</t>
  </si>
  <si>
    <t>Paper Plates</t>
  </si>
  <si>
    <t>TTD 15x21 Party Pizza Box Yellow -40/cs</t>
  </si>
  <si>
    <t>TTD 16 XL Pizza Box 2 COLOR</t>
  </si>
  <si>
    <t>TTD Large Pizza Box 2 Color</t>
  </si>
  <si>
    <t>TTD Medium Pizza Box 2 Color</t>
  </si>
  <si>
    <t>TTD SMALL BOX 10 Yellow -40/cs</t>
  </si>
  <si>
    <t>Total Cheese ordered (oz)</t>
  </si>
  <si>
    <t>Estimated Cheese usage</t>
  </si>
  <si>
    <t>Difference (cases)</t>
  </si>
  <si>
    <t>Total Sauce ordered (fl oz)</t>
  </si>
  <si>
    <t>Estimated Sauce Usage</t>
  </si>
  <si>
    <t>Total Flour ordered (kg)</t>
  </si>
  <si>
    <t>Estimated Flour Usage</t>
  </si>
  <si>
    <t>Difference (Bags)</t>
  </si>
  <si>
    <t>Total Boxes ordered</t>
  </si>
  <si>
    <t>Estimated Pizza Sales</t>
  </si>
  <si>
    <t>Weekly Pizza Sales</t>
  </si>
  <si>
    <t>Sauce to Cheese</t>
  </si>
  <si>
    <t>Flour to Cheese</t>
  </si>
  <si>
    <t>G27</t>
  </si>
  <si>
    <t>G28</t>
  </si>
  <si>
    <t>G15</t>
  </si>
  <si>
    <t>G6</t>
  </si>
  <si>
    <t>G32</t>
  </si>
  <si>
    <t>G22</t>
  </si>
  <si>
    <t>G23</t>
  </si>
  <si>
    <t>G17</t>
  </si>
  <si>
    <t>G1</t>
  </si>
  <si>
    <t>G26</t>
  </si>
  <si>
    <t>G19</t>
  </si>
  <si>
    <t>G24</t>
  </si>
  <si>
    <t>G2</t>
  </si>
  <si>
    <t>G4</t>
  </si>
  <si>
    <t>G14</t>
  </si>
  <si>
    <t>G7</t>
  </si>
  <si>
    <t>G18</t>
  </si>
  <si>
    <t>G20</t>
  </si>
  <si>
    <t>G11</t>
  </si>
  <si>
    <t>G36</t>
  </si>
  <si>
    <t>G37</t>
  </si>
  <si>
    <t>G10</t>
  </si>
  <si>
    <t>G31</t>
  </si>
  <si>
    <t>G8</t>
  </si>
  <si>
    <t>G3</t>
  </si>
  <si>
    <t>G5</t>
  </si>
  <si>
    <t>G21</t>
  </si>
  <si>
    <t>G35</t>
  </si>
  <si>
    <t>G12</t>
  </si>
  <si>
    <t>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</si>
</sst>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 applyAlignment="1">
      <alignment wrapText="1"/>
    </xf>
    <xf numFmtId="0" fontId="0" fillId="0" borderId="3" xfId="0" applyNumberFormat="1" applyBorder="1" applyAlignment="1">
      <alignment wrapText="1"/>
    </xf>
    <xf numFmtId="1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2" applyFont="1"/>
    <xf numFmtId="0" fontId="2" fillId="0" borderId="4" xfId="0" applyFont="1" applyFill="1" applyBorder="1" applyAlignment="1">
      <alignment horizontal="left"/>
    </xf>
    <xf numFmtId="0" fontId="2" fillId="0" borderId="4" xfId="0" applyNumberFormat="1" applyFont="1" applyFill="1" applyBorder="1" applyAlignment="1">
      <alignment wrapText="1"/>
    </xf>
    <xf numFmtId="0" fontId="2" fillId="0" borderId="5" xfId="0" applyNumberFormat="1" applyFont="1" applyFill="1" applyBorder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abSelected="1" workbookViewId="0">
      <selection activeCell="F16" sqref="F16"/>
    </sheetView>
  </sheetViews>
  <sheetFormatPr defaultRowHeight="15" x14ac:dyDescent="0.25"/>
  <cols>
    <col min="1" max="1" width="30.85546875" bestFit="1" customWidth="1"/>
    <col min="2" max="2" width="16.140625" customWidth="1"/>
    <col min="3" max="3" width="15.7109375" customWidth="1"/>
    <col min="4" max="4" width="19.42578125" customWidth="1"/>
    <col min="5" max="5" width="16.140625" customWidth="1"/>
    <col min="6" max="6" width="15.85546875" customWidth="1"/>
    <col min="7" max="7" width="17.28515625" customWidth="1"/>
    <col min="8" max="9" width="15.140625" customWidth="1"/>
    <col min="10" max="10" width="16" customWidth="1"/>
    <col min="12" max="12" width="13" customWidth="1"/>
    <col min="13" max="13" width="14.140625" customWidth="1"/>
    <col min="14" max="14" width="14.7109375" customWidth="1"/>
    <col min="15" max="15" width="14.140625" customWidth="1"/>
    <col min="16" max="17" width="13" customWidth="1"/>
    <col min="18" max="18" width="16.42578125" customWidth="1"/>
    <col min="19" max="20" width="11.85546875" customWidth="1"/>
    <col min="21" max="21" width="14.5703125" customWidth="1"/>
    <col min="22" max="23" width="11.85546875" customWidth="1"/>
    <col min="25" max="25" width="14.7109375" customWidth="1"/>
    <col min="26" max="26" width="12.7109375" bestFit="1" customWidth="1"/>
  </cols>
  <sheetData>
    <row r="1" spans="1:28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16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pans="1:28" x14ac:dyDescent="0.25">
      <c r="A2" s="5" t="s">
        <v>27</v>
      </c>
      <c r="B2" s="6"/>
      <c r="C2" s="6"/>
      <c r="D2" s="6"/>
      <c r="E2" s="6">
        <v>140</v>
      </c>
      <c r="F2" s="6"/>
      <c r="G2" s="6">
        <v>47</v>
      </c>
      <c r="H2" s="6">
        <v>106</v>
      </c>
      <c r="I2" s="6">
        <v>2</v>
      </c>
      <c r="J2" s="6">
        <v>5</v>
      </c>
      <c r="K2" s="6">
        <v>29</v>
      </c>
      <c r="L2" s="6">
        <v>36</v>
      </c>
      <c r="M2" s="6">
        <v>26</v>
      </c>
      <c r="N2" s="7">
        <v>5</v>
      </c>
      <c r="O2" s="8">
        <f t="shared" ref="O2:O31" si="0">(B2*4*2.27+(C2+E2)*10+D2*24)*35.27</f>
        <v>49378.000000000007</v>
      </c>
      <c r="P2" s="8">
        <f t="shared" ref="P2:P31" si="1">J2*40*16+K2*40*10+L2*8*40+M2*40*6+N2*40*4+I2*1200*2</f>
        <v>38160</v>
      </c>
      <c r="Q2" s="8">
        <f>(O2-P2)/352.7</f>
        <v>31.806067479444309</v>
      </c>
      <c r="R2" s="8">
        <f t="shared" ref="R2:R31" si="2">F2*600+G2*6*2.84*33.814</f>
        <v>27080.956320000001</v>
      </c>
      <c r="S2" s="8">
        <f t="shared" ref="S2:S31" si="3">K2*40*6+L2*40*5+M2*4*40+N2*40*2.5+J2*40*10+I2*1200*(10/8)</f>
        <v>23820</v>
      </c>
      <c r="T2" s="8">
        <f>(R2-S2)/(33.814*6*2.84)</f>
        <v>5.6595101453935674</v>
      </c>
      <c r="U2" s="8">
        <f t="shared" ref="U2:U31" si="4">H2*20</f>
        <v>2120</v>
      </c>
      <c r="V2" s="8">
        <f t="shared" ref="V2:V31" si="5">(J2*1.2*40+K2*0.775*40+L2*0.6*40+M2*0.45*40+N2*0.3*40+I2*1200*0.15)/1.6</f>
        <v>1806.875</v>
      </c>
      <c r="W2" s="8">
        <f>(U2-V2)/20</f>
        <v>15.65625</v>
      </c>
      <c r="X2" s="8">
        <f t="shared" ref="X2:X31" si="6">(J2+K2+L2+M2+N2)*40</f>
        <v>4040</v>
      </c>
      <c r="Y2" s="9">
        <f t="shared" ref="Y2:Y31" si="7">N2*10*40+M2*11*40+L2*14*40+K2*17*40+J2*20*40</f>
        <v>57320</v>
      </c>
      <c r="Z2" s="10">
        <f>Y2/4</f>
        <v>14330</v>
      </c>
      <c r="AA2" s="11">
        <f>(R2/5)/(O2/8)</f>
        <v>0.87750678666612647</v>
      </c>
      <c r="AB2" s="11">
        <f>(U2*1.6/0.6)/(O2/8)</f>
        <v>0.91592747107348749</v>
      </c>
    </row>
    <row r="3" spans="1:28" x14ac:dyDescent="0.25">
      <c r="A3" s="5" t="s">
        <v>28</v>
      </c>
      <c r="B3" s="6"/>
      <c r="C3" s="6">
        <v>110</v>
      </c>
      <c r="D3" s="6"/>
      <c r="E3" s="6"/>
      <c r="F3" s="6"/>
      <c r="G3" s="6">
        <v>50</v>
      </c>
      <c r="H3" s="6">
        <v>93</v>
      </c>
      <c r="I3" s="6"/>
      <c r="J3" s="6">
        <v>3</v>
      </c>
      <c r="K3" s="6">
        <v>37</v>
      </c>
      <c r="L3" s="6">
        <v>34</v>
      </c>
      <c r="M3" s="6">
        <v>27</v>
      </c>
      <c r="N3" s="7">
        <v>7</v>
      </c>
      <c r="O3" s="8">
        <f t="shared" si="0"/>
        <v>38797</v>
      </c>
      <c r="P3" s="8">
        <f t="shared" si="1"/>
        <v>35200</v>
      </c>
      <c r="Q3" s="8">
        <f t="shared" ref="Q3:Q31" si="8">(O3-P3)/352.7</f>
        <v>10.198468953785087</v>
      </c>
      <c r="R3" s="8">
        <f t="shared" si="2"/>
        <v>28809.527999999998</v>
      </c>
      <c r="S3" s="8">
        <f t="shared" si="3"/>
        <v>21900</v>
      </c>
      <c r="T3" s="8">
        <f t="shared" ref="T3:T31" si="9">(R3-S3)/(33.814*6*2.84)</f>
        <v>11.991741065664106</v>
      </c>
      <c r="U3" s="8">
        <f t="shared" si="4"/>
        <v>1860</v>
      </c>
      <c r="V3" s="8">
        <f t="shared" si="5"/>
        <v>1673.125</v>
      </c>
      <c r="W3" s="8">
        <f t="shared" ref="W3:W31" si="10">(U3-V3)/20</f>
        <v>9.34375</v>
      </c>
      <c r="X3" s="8">
        <f t="shared" si="6"/>
        <v>4320</v>
      </c>
      <c r="Y3" s="9">
        <f t="shared" si="7"/>
        <v>61280</v>
      </c>
      <c r="Z3" s="10">
        <f>Y3/4</f>
        <v>15320</v>
      </c>
      <c r="AA3" s="11">
        <f>(R3/5)/(O3/8)</f>
        <v>1.1881136376523957</v>
      </c>
      <c r="AB3" s="11">
        <f>(U3*1.6/0.6)/(O3/8)</f>
        <v>1.0227594917132767</v>
      </c>
    </row>
    <row r="4" spans="1:28" x14ac:dyDescent="0.25">
      <c r="A4" s="5" t="s">
        <v>29</v>
      </c>
      <c r="B4" s="6"/>
      <c r="C4" s="6">
        <v>90</v>
      </c>
      <c r="D4" s="6"/>
      <c r="E4" s="6"/>
      <c r="F4" s="6"/>
      <c r="G4" s="6">
        <v>32</v>
      </c>
      <c r="H4" s="6">
        <v>69</v>
      </c>
      <c r="I4" s="6">
        <v>1</v>
      </c>
      <c r="J4" s="6">
        <v>2</v>
      </c>
      <c r="K4" s="6">
        <v>35</v>
      </c>
      <c r="L4" s="6">
        <v>34</v>
      </c>
      <c r="M4" s="6">
        <v>20</v>
      </c>
      <c r="N4" s="7">
        <v>4</v>
      </c>
      <c r="O4" s="8">
        <f t="shared" si="0"/>
        <v>31743.000000000004</v>
      </c>
      <c r="P4" s="8">
        <f t="shared" si="1"/>
        <v>34000</v>
      </c>
      <c r="Q4" s="8">
        <f t="shared" si="8"/>
        <v>-6.3992061241848495</v>
      </c>
      <c r="R4" s="8">
        <f t="shared" si="2"/>
        <v>18438.09792</v>
      </c>
      <c r="S4" s="8">
        <f t="shared" si="3"/>
        <v>21100</v>
      </c>
      <c r="T4" s="8">
        <f t="shared" si="9"/>
        <v>-4.6198293842231637</v>
      </c>
      <c r="U4" s="8">
        <f t="shared" si="4"/>
        <v>1380</v>
      </c>
      <c r="V4" s="8">
        <f t="shared" si="5"/>
        <v>1615.625</v>
      </c>
      <c r="W4" s="8">
        <f t="shared" si="10"/>
        <v>-11.78125</v>
      </c>
      <c r="X4" s="8">
        <f t="shared" si="6"/>
        <v>3800</v>
      </c>
      <c r="Y4" s="9">
        <f t="shared" si="7"/>
        <v>54840</v>
      </c>
      <c r="Z4" s="10">
        <f>Y4/4</f>
        <v>13710</v>
      </c>
      <c r="AA4" s="11">
        <f>(R4/5)/(O4/8)</f>
        <v>0.92936888989698507</v>
      </c>
      <c r="AB4" s="11">
        <f>(U4*1.6/0.6)/(O4/8)</f>
        <v>0.92744857133856273</v>
      </c>
    </row>
    <row r="5" spans="1:28" x14ac:dyDescent="0.25">
      <c r="A5" s="5" t="s">
        <v>30</v>
      </c>
      <c r="B5" s="6"/>
      <c r="C5" s="6"/>
      <c r="D5" s="6">
        <v>25</v>
      </c>
      <c r="E5" s="6"/>
      <c r="F5" s="6"/>
      <c r="G5" s="6">
        <v>12</v>
      </c>
      <c r="H5" s="6">
        <v>55</v>
      </c>
      <c r="I5" s="6">
        <v>3</v>
      </c>
      <c r="J5" s="6">
        <v>1</v>
      </c>
      <c r="K5" s="6">
        <v>17</v>
      </c>
      <c r="L5" s="6">
        <v>13</v>
      </c>
      <c r="M5" s="6">
        <v>10</v>
      </c>
      <c r="N5" s="7">
        <v>3</v>
      </c>
      <c r="O5" s="8">
        <f t="shared" si="0"/>
        <v>21162.000000000004</v>
      </c>
      <c r="P5" s="8">
        <f t="shared" si="1"/>
        <v>21680</v>
      </c>
      <c r="Q5" s="8">
        <f>(O5-P5)/(35.27*24)</f>
        <v>-0.61194594083734566</v>
      </c>
      <c r="R5" s="8">
        <f t="shared" si="2"/>
        <v>6914.2867200000001</v>
      </c>
      <c r="S5" s="8">
        <f t="shared" si="3"/>
        <v>13480</v>
      </c>
      <c r="T5" s="8">
        <f t="shared" si="9"/>
        <v>-11.395037919399442</v>
      </c>
      <c r="U5" s="8">
        <f t="shared" si="4"/>
        <v>1100</v>
      </c>
      <c r="V5" s="8">
        <f t="shared" si="5"/>
        <v>1026.875</v>
      </c>
      <c r="W5" s="8">
        <f t="shared" si="10"/>
        <v>3.65625</v>
      </c>
      <c r="X5" s="8">
        <f t="shared" si="6"/>
        <v>1760</v>
      </c>
      <c r="Y5" s="9">
        <f t="shared" si="7"/>
        <v>25240</v>
      </c>
      <c r="Z5" s="10">
        <f>Y5/4</f>
        <v>6310</v>
      </c>
      <c r="AA5" s="11">
        <f>(R5/5)/(O5/8)</f>
        <v>0.52277000056705403</v>
      </c>
      <c r="AB5" s="11">
        <f>(U5*1.6/0.6)/(O5/8)</f>
        <v>1.1089059005134989</v>
      </c>
    </row>
    <row r="6" spans="1:28" x14ac:dyDescent="0.25">
      <c r="A6" s="5" t="s">
        <v>31</v>
      </c>
      <c r="B6" s="6">
        <v>34</v>
      </c>
      <c r="C6" s="6"/>
      <c r="D6" s="6"/>
      <c r="E6" s="6"/>
      <c r="F6" s="6"/>
      <c r="G6" s="6">
        <v>7</v>
      </c>
      <c r="H6" s="6">
        <v>34</v>
      </c>
      <c r="I6" s="6">
        <v>1</v>
      </c>
      <c r="J6" s="6">
        <v>1</v>
      </c>
      <c r="K6" s="6">
        <v>10</v>
      </c>
      <c r="L6" s="6">
        <v>13</v>
      </c>
      <c r="M6" s="6">
        <v>5</v>
      </c>
      <c r="N6" s="7">
        <v>2</v>
      </c>
      <c r="O6" s="8">
        <f t="shared" si="0"/>
        <v>10888.554400000003</v>
      </c>
      <c r="P6" s="8">
        <f t="shared" si="1"/>
        <v>12720</v>
      </c>
      <c r="Q6" s="8">
        <f>(O6-P6)/(35.27*4*2.27)</f>
        <v>-5.7187711162098704</v>
      </c>
      <c r="R6" s="8">
        <f t="shared" si="2"/>
        <v>4033.33392</v>
      </c>
      <c r="S6" s="8">
        <f t="shared" si="3"/>
        <v>7900</v>
      </c>
      <c r="T6" s="8">
        <f t="shared" si="9"/>
        <v>-6.710741807363175</v>
      </c>
      <c r="U6" s="8">
        <f t="shared" si="4"/>
        <v>680</v>
      </c>
      <c r="V6" s="8">
        <f t="shared" si="5"/>
        <v>602.5</v>
      </c>
      <c r="W6" s="8">
        <f t="shared" si="10"/>
        <v>3.875</v>
      </c>
      <c r="X6" s="8">
        <f t="shared" si="6"/>
        <v>1240</v>
      </c>
      <c r="Y6" s="9">
        <f t="shared" si="7"/>
        <v>17880</v>
      </c>
      <c r="Z6" s="10">
        <f>Y6/4</f>
        <v>4470</v>
      </c>
      <c r="AA6" s="11">
        <f>(R6/5)/(O6/8)</f>
        <v>0.59267135332491871</v>
      </c>
      <c r="AB6" s="11">
        <f>(U6*1.6/0.6)/(O6/8)</f>
        <v>1.3322858236045241</v>
      </c>
    </row>
    <row r="7" spans="1:28" x14ac:dyDescent="0.25">
      <c r="A7" s="5" t="s">
        <v>32</v>
      </c>
      <c r="B7" s="6"/>
      <c r="C7" s="6">
        <v>58</v>
      </c>
      <c r="D7" s="6"/>
      <c r="E7" s="6"/>
      <c r="F7" s="6"/>
      <c r="G7" s="6">
        <v>18</v>
      </c>
      <c r="H7" s="6">
        <v>51</v>
      </c>
      <c r="I7" s="6">
        <v>3</v>
      </c>
      <c r="J7" s="6">
        <v>2</v>
      </c>
      <c r="K7" s="6">
        <v>19</v>
      </c>
      <c r="L7" s="6">
        <v>13</v>
      </c>
      <c r="M7" s="6">
        <v>12</v>
      </c>
      <c r="N7" s="7">
        <v>2</v>
      </c>
      <c r="O7" s="8">
        <f t="shared" si="0"/>
        <v>20456.600000000002</v>
      </c>
      <c r="P7" s="8">
        <f t="shared" si="1"/>
        <v>23440</v>
      </c>
      <c r="Q7" s="8">
        <f t="shared" si="8"/>
        <v>-8.4587468103203793</v>
      </c>
      <c r="R7" s="8">
        <f t="shared" si="2"/>
        <v>10371.430079999998</v>
      </c>
      <c r="S7" s="8">
        <f t="shared" si="3"/>
        <v>14580</v>
      </c>
      <c r="T7" s="8">
        <f t="shared" si="9"/>
        <v>-7.3041285508044451</v>
      </c>
      <c r="U7" s="8">
        <f t="shared" si="4"/>
        <v>1020</v>
      </c>
      <c r="V7" s="8">
        <f t="shared" si="5"/>
        <v>1110.625</v>
      </c>
      <c r="W7" s="8">
        <f t="shared" si="10"/>
        <v>-4.53125</v>
      </c>
      <c r="X7" s="8">
        <f t="shared" si="6"/>
        <v>1920</v>
      </c>
      <c r="Y7" s="9">
        <f t="shared" si="7"/>
        <v>27880</v>
      </c>
      <c r="Z7" s="10">
        <f>Y7/4</f>
        <v>6970</v>
      </c>
      <c r="AA7" s="11">
        <f>(R7/5)/(O7/8)</f>
        <v>0.81119482846611823</v>
      </c>
      <c r="AB7" s="11">
        <f>(U7*1.6/0.6)/(O7/8)</f>
        <v>1.0637153779220396</v>
      </c>
    </row>
    <row r="8" spans="1:28" x14ac:dyDescent="0.25">
      <c r="A8" s="5" t="s">
        <v>33</v>
      </c>
      <c r="B8" s="6"/>
      <c r="C8" s="6"/>
      <c r="D8" s="6">
        <v>22</v>
      </c>
      <c r="E8" s="6"/>
      <c r="F8" s="6"/>
      <c r="G8" s="6">
        <v>20</v>
      </c>
      <c r="H8" s="6">
        <v>48</v>
      </c>
      <c r="I8" s="6">
        <v>1</v>
      </c>
      <c r="J8" s="6">
        <v>2</v>
      </c>
      <c r="K8" s="6">
        <v>25</v>
      </c>
      <c r="L8" s="6">
        <v>16</v>
      </c>
      <c r="M8" s="6">
        <v>11</v>
      </c>
      <c r="N8" s="7">
        <v>3</v>
      </c>
      <c r="O8" s="8">
        <f t="shared" si="0"/>
        <v>18622.560000000001</v>
      </c>
      <c r="P8" s="8">
        <f t="shared" si="1"/>
        <v>21920</v>
      </c>
      <c r="Q8" s="8">
        <f>(O8-P8)/(35.27*24)</f>
        <v>-3.895473017673186</v>
      </c>
      <c r="R8" s="8">
        <f t="shared" si="2"/>
        <v>11523.811199999998</v>
      </c>
      <c r="S8" s="8">
        <f t="shared" si="3"/>
        <v>13560</v>
      </c>
      <c r="T8" s="8">
        <f t="shared" si="9"/>
        <v>-3.5338808744107189</v>
      </c>
      <c r="U8" s="8">
        <f t="shared" si="4"/>
        <v>960</v>
      </c>
      <c r="V8" s="8">
        <f t="shared" si="5"/>
        <v>1043.125</v>
      </c>
      <c r="W8" s="8">
        <f t="shared" si="10"/>
        <v>-4.15625</v>
      </c>
      <c r="X8" s="8">
        <f t="shared" si="6"/>
        <v>2280</v>
      </c>
      <c r="Y8" s="9">
        <f t="shared" si="7"/>
        <v>33600</v>
      </c>
      <c r="Z8" s="10">
        <f>Y8/4</f>
        <v>8400</v>
      </c>
      <c r="AA8" s="11">
        <f>(R8/5)/(O8/8)</f>
        <v>0.9900946980436629</v>
      </c>
      <c r="AB8" s="11">
        <f>(U8*1.6/0.6)/(O8/8)</f>
        <v>1.0997413889390073</v>
      </c>
    </row>
    <row r="9" spans="1:28" x14ac:dyDescent="0.25">
      <c r="A9" s="5" t="s">
        <v>34</v>
      </c>
      <c r="B9" s="6"/>
      <c r="C9" s="6">
        <v>54</v>
      </c>
      <c r="D9" s="6"/>
      <c r="E9" s="6"/>
      <c r="F9" s="6">
        <v>23</v>
      </c>
      <c r="G9" s="6"/>
      <c r="H9" s="6">
        <v>49</v>
      </c>
      <c r="I9" s="6">
        <v>1</v>
      </c>
      <c r="J9" s="6">
        <v>1</v>
      </c>
      <c r="K9" s="6">
        <v>18</v>
      </c>
      <c r="L9" s="6">
        <v>18</v>
      </c>
      <c r="M9" s="6">
        <v>11</v>
      </c>
      <c r="N9" s="7">
        <v>2</v>
      </c>
      <c r="O9" s="8">
        <f t="shared" si="0"/>
        <v>19045.800000000003</v>
      </c>
      <c r="P9" s="8">
        <f t="shared" si="1"/>
        <v>18960</v>
      </c>
      <c r="Q9" s="8">
        <f t="shared" si="8"/>
        <v>0.24326623192515712</v>
      </c>
      <c r="R9" s="8">
        <f t="shared" si="2"/>
        <v>13800</v>
      </c>
      <c r="S9" s="8">
        <f t="shared" si="3"/>
        <v>11780</v>
      </c>
      <c r="T9" s="8">
        <f>(R9-S9)/(600)</f>
        <v>3.3666666666666667</v>
      </c>
      <c r="U9" s="8">
        <f t="shared" si="4"/>
        <v>980</v>
      </c>
      <c r="V9" s="8">
        <f t="shared" si="5"/>
        <v>900</v>
      </c>
      <c r="W9" s="8">
        <f t="shared" si="10"/>
        <v>4</v>
      </c>
      <c r="X9" s="8">
        <f t="shared" si="6"/>
        <v>2000</v>
      </c>
      <c r="Y9" s="9">
        <f t="shared" si="7"/>
        <v>28760</v>
      </c>
      <c r="Z9" s="10">
        <f>Y9/4</f>
        <v>7190</v>
      </c>
      <c r="AA9" s="11">
        <f>(R9/5)/(O9/8)</f>
        <v>1.1593107141732033</v>
      </c>
      <c r="AB9" s="11">
        <f>(U9*1.6/0.6)/(O9/8)</f>
        <v>1.0977048308113424</v>
      </c>
    </row>
    <row r="10" spans="1:28" x14ac:dyDescent="0.25">
      <c r="A10" s="5" t="s">
        <v>35</v>
      </c>
      <c r="B10" s="6"/>
      <c r="C10" s="6"/>
      <c r="D10" s="6">
        <v>57</v>
      </c>
      <c r="E10" s="6"/>
      <c r="F10" s="6"/>
      <c r="G10" s="6">
        <v>43</v>
      </c>
      <c r="H10" s="6">
        <v>135</v>
      </c>
      <c r="I10" s="6">
        <v>2</v>
      </c>
      <c r="J10" s="6">
        <v>3</v>
      </c>
      <c r="K10" s="6">
        <v>49</v>
      </c>
      <c r="L10" s="6">
        <v>65</v>
      </c>
      <c r="M10" s="6">
        <v>30</v>
      </c>
      <c r="N10" s="7">
        <v>5</v>
      </c>
      <c r="O10" s="8">
        <f t="shared" si="0"/>
        <v>48249.360000000008</v>
      </c>
      <c r="P10" s="8">
        <f t="shared" si="1"/>
        <v>55120</v>
      </c>
      <c r="Q10" s="8">
        <f>(O10-P10)/(35.27*24)</f>
        <v>-8.1167186466307442</v>
      </c>
      <c r="R10" s="8">
        <f t="shared" si="2"/>
        <v>24776.194079999997</v>
      </c>
      <c r="S10" s="8">
        <f t="shared" si="3"/>
        <v>34260</v>
      </c>
      <c r="T10" s="8">
        <f t="shared" si="9"/>
        <v>-16.45949548357752</v>
      </c>
      <c r="U10" s="8">
        <f t="shared" si="4"/>
        <v>2700</v>
      </c>
      <c r="V10" s="8">
        <f t="shared" si="5"/>
        <v>2614.375</v>
      </c>
      <c r="W10" s="8">
        <f t="shared" si="10"/>
        <v>4.28125</v>
      </c>
      <c r="X10" s="8">
        <f t="shared" si="6"/>
        <v>6080</v>
      </c>
      <c r="Y10" s="9">
        <f t="shared" si="7"/>
        <v>87320</v>
      </c>
      <c r="Z10" s="10">
        <f>Y10/4</f>
        <v>21830</v>
      </c>
      <c r="AA10" s="11">
        <f>(R10/5)/(O10/8)</f>
        <v>0.82160489855202201</v>
      </c>
      <c r="AB10" s="11">
        <f>(U10*1.6/0.6)/(O10/8)</f>
        <v>1.1937982182561591</v>
      </c>
    </row>
    <row r="11" spans="1:28" x14ac:dyDescent="0.25">
      <c r="A11" s="5" t="s">
        <v>36</v>
      </c>
      <c r="B11" s="6"/>
      <c r="C11" s="6">
        <v>119</v>
      </c>
      <c r="D11" s="6"/>
      <c r="E11" s="6"/>
      <c r="F11" s="6"/>
      <c r="G11" s="6">
        <v>28</v>
      </c>
      <c r="H11" s="6">
        <v>75</v>
      </c>
      <c r="I11" s="6">
        <v>1</v>
      </c>
      <c r="J11" s="6">
        <v>1</v>
      </c>
      <c r="K11" s="6">
        <v>20</v>
      </c>
      <c r="L11" s="6">
        <v>35</v>
      </c>
      <c r="M11" s="6">
        <v>16</v>
      </c>
      <c r="N11" s="7">
        <v>6</v>
      </c>
      <c r="O11" s="8">
        <f t="shared" si="0"/>
        <v>41971.3</v>
      </c>
      <c r="P11" s="8">
        <f t="shared" si="1"/>
        <v>27040</v>
      </c>
      <c r="Q11" s="8">
        <f t="shared" si="8"/>
        <v>42.33427842358946</v>
      </c>
      <c r="R11" s="8">
        <f t="shared" si="2"/>
        <v>16133.33568</v>
      </c>
      <c r="S11" s="8">
        <f t="shared" si="3"/>
        <v>16860</v>
      </c>
      <c r="T11" s="8">
        <f t="shared" si="9"/>
        <v>-1.2611527686257127</v>
      </c>
      <c r="U11" s="8">
        <f t="shared" si="4"/>
        <v>1500</v>
      </c>
      <c r="V11" s="8">
        <f t="shared" si="5"/>
        <v>1280</v>
      </c>
      <c r="W11" s="8">
        <f t="shared" si="10"/>
        <v>11</v>
      </c>
      <c r="X11" s="8">
        <f t="shared" si="6"/>
        <v>3120</v>
      </c>
      <c r="Y11" s="9">
        <f t="shared" si="7"/>
        <v>43440</v>
      </c>
      <c r="Z11" s="10">
        <f>Y11/4</f>
        <v>10860</v>
      </c>
      <c r="AA11" s="11">
        <f>(R11/5)/(O11/8)</f>
        <v>0.61502353007888722</v>
      </c>
      <c r="AB11" s="11">
        <f>(U11*1.6/0.6)/(O11/8)</f>
        <v>0.76242575283586633</v>
      </c>
    </row>
    <row r="12" spans="1:28" x14ac:dyDescent="0.25">
      <c r="A12" s="5" t="s">
        <v>37</v>
      </c>
      <c r="B12" s="6"/>
      <c r="C12" s="6">
        <v>49</v>
      </c>
      <c r="D12" s="6"/>
      <c r="E12" s="6"/>
      <c r="F12" s="6"/>
      <c r="G12" s="6">
        <v>16</v>
      </c>
      <c r="H12" s="6">
        <v>34</v>
      </c>
      <c r="I12" s="6">
        <v>1</v>
      </c>
      <c r="J12" s="6">
        <v>2</v>
      </c>
      <c r="K12" s="6">
        <v>15</v>
      </c>
      <c r="L12" s="6">
        <v>9</v>
      </c>
      <c r="M12" s="6">
        <v>9</v>
      </c>
      <c r="N12" s="7"/>
      <c r="O12" s="8">
        <f t="shared" si="0"/>
        <v>17282.300000000003</v>
      </c>
      <c r="P12" s="8">
        <f t="shared" si="1"/>
        <v>14720</v>
      </c>
      <c r="Q12" s="8">
        <f t="shared" si="8"/>
        <v>7.264814289764681</v>
      </c>
      <c r="R12" s="8">
        <f t="shared" si="2"/>
        <v>9219.0489600000001</v>
      </c>
      <c r="S12" s="8">
        <f t="shared" si="3"/>
        <v>9140</v>
      </c>
      <c r="T12" s="8">
        <f t="shared" si="9"/>
        <v>0.13719238996209879</v>
      </c>
      <c r="U12" s="8">
        <f t="shared" si="4"/>
        <v>680</v>
      </c>
      <c r="V12" s="8">
        <f t="shared" si="5"/>
        <v>699.375</v>
      </c>
      <c r="W12" s="8">
        <f t="shared" si="10"/>
        <v>-0.96875</v>
      </c>
      <c r="X12" s="8">
        <f t="shared" si="6"/>
        <v>1400</v>
      </c>
      <c r="Y12" s="9">
        <f t="shared" si="7"/>
        <v>20800</v>
      </c>
      <c r="Z12" s="10">
        <f>Y12/4</f>
        <v>5200</v>
      </c>
      <c r="AA12" s="11">
        <f>(R12/5)/(O12/8)</f>
        <v>0.85350204174212907</v>
      </c>
      <c r="AB12" s="11">
        <f>(U12*1.6/0.6)/(O12/8)</f>
        <v>0.83939444788405859</v>
      </c>
    </row>
    <row r="13" spans="1:28" x14ac:dyDescent="0.25">
      <c r="A13" s="5" t="s">
        <v>38</v>
      </c>
      <c r="B13" s="6"/>
      <c r="C13" s="6"/>
      <c r="D13" s="6">
        <v>23</v>
      </c>
      <c r="E13" s="6"/>
      <c r="F13" s="6"/>
      <c r="G13" s="6">
        <v>30</v>
      </c>
      <c r="H13" s="6">
        <v>60</v>
      </c>
      <c r="I13" s="6"/>
      <c r="J13" s="6">
        <v>1</v>
      </c>
      <c r="K13" s="6">
        <v>26</v>
      </c>
      <c r="L13" s="6">
        <v>26</v>
      </c>
      <c r="M13" s="6">
        <v>13</v>
      </c>
      <c r="N13" s="7">
        <v>4</v>
      </c>
      <c r="O13" s="8">
        <f t="shared" si="0"/>
        <v>19469.04</v>
      </c>
      <c r="P13" s="8">
        <f t="shared" si="1"/>
        <v>23120</v>
      </c>
      <c r="Q13" s="8">
        <f>(O13-P13)/(35.27*24)</f>
        <v>-4.313108401852376</v>
      </c>
      <c r="R13" s="8">
        <f t="shared" si="2"/>
        <v>17285.716799999998</v>
      </c>
      <c r="S13" s="8">
        <f t="shared" si="3"/>
        <v>14320</v>
      </c>
      <c r="T13" s="8">
        <f t="shared" si="9"/>
        <v>5.1471110529821908</v>
      </c>
      <c r="U13" s="8">
        <f t="shared" si="4"/>
        <v>1200</v>
      </c>
      <c r="V13" s="8">
        <f t="shared" si="5"/>
        <v>1100</v>
      </c>
      <c r="W13" s="8">
        <f t="shared" si="10"/>
        <v>5</v>
      </c>
      <c r="X13" s="8">
        <f t="shared" si="6"/>
        <v>2800</v>
      </c>
      <c r="Y13" s="9">
        <f t="shared" si="7"/>
        <v>40360</v>
      </c>
      <c r="Z13" s="10">
        <f>Y13/4</f>
        <v>10090</v>
      </c>
      <c r="AA13" s="11">
        <f>(R13/5)/(O13/8)</f>
        <v>1.4205706537148208</v>
      </c>
      <c r="AB13" s="11">
        <f>(U13*1.6/0.6)/(O13/8)</f>
        <v>1.3149081824270739</v>
      </c>
    </row>
    <row r="14" spans="1:28" x14ac:dyDescent="0.25">
      <c r="A14" s="5" t="s">
        <v>39</v>
      </c>
      <c r="B14" s="6"/>
      <c r="C14" s="6">
        <v>103</v>
      </c>
      <c r="D14" s="6"/>
      <c r="E14" s="6"/>
      <c r="F14" s="6"/>
      <c r="G14" s="6">
        <v>39</v>
      </c>
      <c r="H14" s="6">
        <v>71</v>
      </c>
      <c r="I14" s="6">
        <v>1</v>
      </c>
      <c r="J14" s="6">
        <v>3</v>
      </c>
      <c r="K14" s="6">
        <v>32</v>
      </c>
      <c r="L14" s="6">
        <v>25</v>
      </c>
      <c r="M14" s="6">
        <v>14</v>
      </c>
      <c r="N14" s="7">
        <v>4</v>
      </c>
      <c r="O14" s="8">
        <f t="shared" si="0"/>
        <v>36328.100000000006</v>
      </c>
      <c r="P14" s="8">
        <f t="shared" si="1"/>
        <v>29120</v>
      </c>
      <c r="Q14" s="8">
        <f t="shared" si="8"/>
        <v>20.436915225404043</v>
      </c>
      <c r="R14" s="8">
        <f t="shared" si="2"/>
        <v>22471.431839999997</v>
      </c>
      <c r="S14" s="8">
        <f t="shared" si="3"/>
        <v>18020</v>
      </c>
      <c r="T14" s="8">
        <f t="shared" si="9"/>
        <v>7.7256243837108292</v>
      </c>
      <c r="U14" s="8">
        <f t="shared" si="4"/>
        <v>1420</v>
      </c>
      <c r="V14" s="8">
        <f t="shared" si="5"/>
        <v>1385</v>
      </c>
      <c r="W14" s="8">
        <f t="shared" si="10"/>
        <v>1.75</v>
      </c>
      <c r="X14" s="8">
        <f t="shared" si="6"/>
        <v>3120</v>
      </c>
      <c r="Y14" s="9">
        <f t="shared" si="7"/>
        <v>45920</v>
      </c>
      <c r="Z14" s="10">
        <f>Y14/4</f>
        <v>11480</v>
      </c>
      <c r="AA14" s="11">
        <f>(R14/5)/(O14/8)</f>
        <v>0.98971019524830606</v>
      </c>
      <c r="AB14" s="11">
        <f>(U14*1.6/0.6)/(O14/8)</f>
        <v>0.83388157743821811</v>
      </c>
    </row>
    <row r="15" spans="1:28" x14ac:dyDescent="0.25">
      <c r="A15" s="5" t="s">
        <v>40</v>
      </c>
      <c r="B15" s="6"/>
      <c r="C15" s="6"/>
      <c r="D15" s="6">
        <v>26</v>
      </c>
      <c r="E15" s="6"/>
      <c r="F15" s="6"/>
      <c r="G15" s="6">
        <v>15</v>
      </c>
      <c r="H15" s="6">
        <v>57</v>
      </c>
      <c r="I15" s="6"/>
      <c r="J15" s="6">
        <v>2</v>
      </c>
      <c r="K15" s="6">
        <v>27</v>
      </c>
      <c r="L15" s="6">
        <v>22</v>
      </c>
      <c r="M15" s="6">
        <v>17</v>
      </c>
      <c r="N15" s="7">
        <v>4</v>
      </c>
      <c r="O15" s="8">
        <f t="shared" si="0"/>
        <v>22008.480000000003</v>
      </c>
      <c r="P15" s="8">
        <f t="shared" si="1"/>
        <v>23840</v>
      </c>
      <c r="Q15" s="8">
        <f>(O15-P15)/(35.27*24)</f>
        <v>-2.1636896323598864</v>
      </c>
      <c r="R15" s="8">
        <f t="shared" si="2"/>
        <v>8642.8583999999992</v>
      </c>
      <c r="S15" s="8">
        <f t="shared" si="3"/>
        <v>14800</v>
      </c>
      <c r="T15" s="8">
        <f t="shared" si="9"/>
        <v>-10.685946677085443</v>
      </c>
      <c r="U15" s="8">
        <f t="shared" si="4"/>
        <v>1140</v>
      </c>
      <c r="V15" s="8">
        <f t="shared" si="5"/>
        <v>1134.375</v>
      </c>
      <c r="W15" s="8">
        <f t="shared" si="10"/>
        <v>0.28125</v>
      </c>
      <c r="X15" s="8">
        <f t="shared" si="6"/>
        <v>2880</v>
      </c>
      <c r="Y15" s="9">
        <f t="shared" si="7"/>
        <v>41360</v>
      </c>
      <c r="Z15" s="10">
        <f>Y15/4</f>
        <v>10340</v>
      </c>
      <c r="AA15" s="11">
        <f>(R15/5)/(O15/8)</f>
        <v>0.62832932760463223</v>
      </c>
      <c r="AB15" s="11">
        <f>(U15*1.6/0.6)/(O15/8)</f>
        <v>1.1050286071550601</v>
      </c>
    </row>
    <row r="16" spans="1:28" x14ac:dyDescent="0.25">
      <c r="A16" s="5" t="s">
        <v>41</v>
      </c>
      <c r="B16" s="6"/>
      <c r="C16" s="6">
        <v>73</v>
      </c>
      <c r="D16" s="6"/>
      <c r="E16" s="6"/>
      <c r="F16" s="6"/>
      <c r="G16" s="6">
        <v>19</v>
      </c>
      <c r="H16" s="6">
        <v>74</v>
      </c>
      <c r="I16" s="6">
        <v>1</v>
      </c>
      <c r="J16" s="6">
        <v>2</v>
      </c>
      <c r="K16" s="6">
        <v>34</v>
      </c>
      <c r="L16" s="6">
        <v>27</v>
      </c>
      <c r="M16" s="6">
        <v>23</v>
      </c>
      <c r="N16" s="7">
        <v>2</v>
      </c>
      <c r="O16" s="8">
        <f t="shared" si="0"/>
        <v>25747.100000000002</v>
      </c>
      <c r="P16" s="8">
        <f t="shared" si="1"/>
        <v>31760</v>
      </c>
      <c r="Q16" s="8">
        <f t="shared" si="8"/>
        <v>-17.048199603062088</v>
      </c>
      <c r="R16" s="8">
        <f t="shared" si="2"/>
        <v>10947.620639999999</v>
      </c>
      <c r="S16" s="8">
        <f t="shared" si="3"/>
        <v>19740</v>
      </c>
      <c r="T16" s="8">
        <f t="shared" si="9"/>
        <v>-15.25949914903153</v>
      </c>
      <c r="U16" s="8">
        <f t="shared" si="4"/>
        <v>1480</v>
      </c>
      <c r="V16" s="8">
        <f t="shared" si="5"/>
        <v>1510</v>
      </c>
      <c r="W16" s="8">
        <f t="shared" si="10"/>
        <v>-1.5</v>
      </c>
      <c r="X16" s="8">
        <f t="shared" si="6"/>
        <v>3520</v>
      </c>
      <c r="Y16" s="9">
        <f t="shared" si="7"/>
        <v>50760</v>
      </c>
      <c r="Z16" s="10">
        <f>Y16/4</f>
        <v>12690</v>
      </c>
      <c r="AA16" s="11">
        <f>(R16/5)/(O16/8)</f>
        <v>0.68031712402561839</v>
      </c>
      <c r="AB16" s="11">
        <f>(U16*1.6/0.6)/(O16/8)</f>
        <v>1.2262869734196602</v>
      </c>
    </row>
    <row r="17" spans="1:28" x14ac:dyDescent="0.25">
      <c r="A17" s="5" t="s">
        <v>42</v>
      </c>
      <c r="B17" s="6"/>
      <c r="C17" s="6"/>
      <c r="D17" s="6"/>
      <c r="E17" s="6">
        <v>86</v>
      </c>
      <c r="F17" s="6"/>
      <c r="G17" s="6">
        <v>18</v>
      </c>
      <c r="H17" s="6">
        <v>63</v>
      </c>
      <c r="I17" s="6">
        <v>1</v>
      </c>
      <c r="J17" s="6">
        <v>1</v>
      </c>
      <c r="K17" s="6">
        <v>30</v>
      </c>
      <c r="L17" s="6">
        <v>25</v>
      </c>
      <c r="M17" s="6">
        <v>12</v>
      </c>
      <c r="N17" s="7">
        <v>2</v>
      </c>
      <c r="O17" s="8">
        <f t="shared" si="0"/>
        <v>30332.200000000004</v>
      </c>
      <c r="P17" s="8">
        <f t="shared" si="1"/>
        <v>26240</v>
      </c>
      <c r="Q17" s="8">
        <f t="shared" si="8"/>
        <v>11.602495038276167</v>
      </c>
      <c r="R17" s="8">
        <f t="shared" si="2"/>
        <v>10371.430079999998</v>
      </c>
      <c r="S17" s="8">
        <f t="shared" si="3"/>
        <v>16220</v>
      </c>
      <c r="T17" s="8">
        <f t="shared" si="9"/>
        <v>-10.150409128535534</v>
      </c>
      <c r="U17" s="8">
        <f t="shared" si="4"/>
        <v>1260</v>
      </c>
      <c r="V17" s="8">
        <f t="shared" si="5"/>
        <v>1248.75</v>
      </c>
      <c r="W17" s="8">
        <f t="shared" si="10"/>
        <v>0.5625</v>
      </c>
      <c r="X17" s="8">
        <f t="shared" si="6"/>
        <v>2800</v>
      </c>
      <c r="Y17" s="9">
        <f t="shared" si="7"/>
        <v>41280</v>
      </c>
      <c r="Z17" s="10">
        <f>Y17/4</f>
        <v>10320</v>
      </c>
      <c r="AA17" s="11">
        <f>(R17/5)/(O17/8)</f>
        <v>0.54708488431435875</v>
      </c>
      <c r="AB17" s="11">
        <f>(U17*1.6/0.6)/(O17/8)</f>
        <v>0.88618695643573486</v>
      </c>
    </row>
    <row r="18" spans="1:28" x14ac:dyDescent="0.25">
      <c r="A18" s="5" t="s">
        <v>43</v>
      </c>
      <c r="B18" s="6"/>
      <c r="C18" s="6">
        <v>80</v>
      </c>
      <c r="D18" s="6"/>
      <c r="E18" s="6"/>
      <c r="F18" s="6"/>
      <c r="G18" s="6">
        <v>38</v>
      </c>
      <c r="H18" s="6">
        <v>123</v>
      </c>
      <c r="I18" s="6"/>
      <c r="J18" s="6">
        <v>3</v>
      </c>
      <c r="K18" s="6">
        <v>52</v>
      </c>
      <c r="L18" s="6">
        <v>45</v>
      </c>
      <c r="M18" s="6">
        <v>11</v>
      </c>
      <c r="N18" s="7"/>
      <c r="O18" s="8">
        <f t="shared" si="0"/>
        <v>28216.000000000004</v>
      </c>
      <c r="P18" s="8">
        <f t="shared" si="1"/>
        <v>39760</v>
      </c>
      <c r="Q18" s="8">
        <f t="shared" si="8"/>
        <v>-32.730365749929106</v>
      </c>
      <c r="R18" s="8">
        <f t="shared" si="2"/>
        <v>21895.241279999998</v>
      </c>
      <c r="S18" s="8">
        <f t="shared" si="3"/>
        <v>24440</v>
      </c>
      <c r="T18" s="8">
        <f t="shared" si="9"/>
        <v>-4.4165227559438005</v>
      </c>
      <c r="U18" s="8">
        <f t="shared" si="4"/>
        <v>2460</v>
      </c>
      <c r="V18" s="8">
        <f t="shared" si="5"/>
        <v>1896.25</v>
      </c>
      <c r="W18" s="8">
        <f t="shared" si="10"/>
        <v>28.1875</v>
      </c>
      <c r="X18" s="8">
        <f t="shared" si="6"/>
        <v>4440</v>
      </c>
      <c r="Y18" s="9">
        <f t="shared" si="7"/>
        <v>67800</v>
      </c>
      <c r="Z18" s="10">
        <f>Y18/4</f>
        <v>16950</v>
      </c>
      <c r="AA18" s="11">
        <f>(R18/5)/(O18/8)</f>
        <v>1.2415787513467536</v>
      </c>
      <c r="AB18" s="11">
        <f>(U18*1.6/0.6)/(O18/8)</f>
        <v>1.8599376240430958</v>
      </c>
    </row>
    <row r="19" spans="1:28" x14ac:dyDescent="0.25">
      <c r="A19" s="5" t="s">
        <v>44</v>
      </c>
      <c r="B19" s="6"/>
      <c r="C19" s="6">
        <v>58</v>
      </c>
      <c r="D19" s="6"/>
      <c r="E19" s="6"/>
      <c r="F19" s="6"/>
      <c r="G19" s="6">
        <v>26</v>
      </c>
      <c r="H19" s="6">
        <v>54</v>
      </c>
      <c r="I19" s="6">
        <v>1</v>
      </c>
      <c r="J19" s="6">
        <v>1</v>
      </c>
      <c r="K19" s="6">
        <v>21</v>
      </c>
      <c r="L19" s="6">
        <v>28</v>
      </c>
      <c r="M19" s="6">
        <v>12</v>
      </c>
      <c r="N19" s="7">
        <v>2</v>
      </c>
      <c r="O19" s="8">
        <f t="shared" si="0"/>
        <v>20456.600000000002</v>
      </c>
      <c r="P19" s="8">
        <f t="shared" si="1"/>
        <v>23600</v>
      </c>
      <c r="Q19" s="8">
        <f t="shared" si="8"/>
        <v>-8.9123901332577198</v>
      </c>
      <c r="R19" s="8">
        <f t="shared" si="2"/>
        <v>14980.954559999998</v>
      </c>
      <c r="S19" s="8">
        <f t="shared" si="3"/>
        <v>14660</v>
      </c>
      <c r="T19" s="8">
        <f t="shared" si="9"/>
        <v>0.55702849418428224</v>
      </c>
      <c r="U19" s="8">
        <f t="shared" si="4"/>
        <v>1080</v>
      </c>
      <c r="V19" s="8">
        <f t="shared" si="5"/>
        <v>1119.375</v>
      </c>
      <c r="W19" s="8">
        <f t="shared" si="10"/>
        <v>-1.96875</v>
      </c>
      <c r="X19" s="8">
        <f t="shared" si="6"/>
        <v>2560</v>
      </c>
      <c r="Y19" s="9">
        <f t="shared" si="7"/>
        <v>36840</v>
      </c>
      <c r="Z19" s="10">
        <f>Y19/4</f>
        <v>9210</v>
      </c>
      <c r="AA19" s="11">
        <f>(R19/5)/(O19/8)</f>
        <v>1.1717258633399488</v>
      </c>
      <c r="AB19" s="11">
        <f>(U19*1.6/0.6)/(O19/8)</f>
        <v>1.1262868707409832</v>
      </c>
    </row>
    <row r="20" spans="1:28" x14ac:dyDescent="0.25">
      <c r="A20" s="5" t="s">
        <v>45</v>
      </c>
      <c r="B20" s="6"/>
      <c r="C20" s="6">
        <v>150</v>
      </c>
      <c r="D20" s="6"/>
      <c r="E20" s="6"/>
      <c r="F20" s="6"/>
      <c r="G20" s="6">
        <v>56</v>
      </c>
      <c r="H20" s="6">
        <v>126</v>
      </c>
      <c r="I20" s="6">
        <v>3</v>
      </c>
      <c r="J20" s="6">
        <v>9</v>
      </c>
      <c r="K20" s="6">
        <v>61</v>
      </c>
      <c r="L20" s="6">
        <v>25</v>
      </c>
      <c r="M20" s="6">
        <v>29</v>
      </c>
      <c r="N20" s="7">
        <v>7</v>
      </c>
      <c r="O20" s="8">
        <f t="shared" si="0"/>
        <v>52905.000000000007</v>
      </c>
      <c r="P20" s="8">
        <f t="shared" si="1"/>
        <v>53440</v>
      </c>
      <c r="Q20" s="8">
        <f t="shared" si="8"/>
        <v>-1.5168698610717117</v>
      </c>
      <c r="R20" s="8">
        <f t="shared" si="2"/>
        <v>32266.67136</v>
      </c>
      <c r="S20" s="8">
        <f t="shared" si="3"/>
        <v>33080</v>
      </c>
      <c r="T20" s="8">
        <f t="shared" si="9"/>
        <v>-1.4115618971612443</v>
      </c>
      <c r="U20" s="8">
        <f t="shared" si="4"/>
        <v>2520</v>
      </c>
      <c r="V20" s="8">
        <f t="shared" si="5"/>
        <v>2543.125</v>
      </c>
      <c r="W20" s="8">
        <f t="shared" si="10"/>
        <v>-1.15625</v>
      </c>
      <c r="X20" s="8">
        <f t="shared" si="6"/>
        <v>5240</v>
      </c>
      <c r="Y20" s="9">
        <f t="shared" si="7"/>
        <v>78240</v>
      </c>
      <c r="Z20" s="10">
        <f>Y20/4</f>
        <v>19560</v>
      </c>
      <c r="AA20" s="11">
        <f>(R20/5)/(O20/8)</f>
        <v>0.97583733439183429</v>
      </c>
      <c r="AB20" s="11">
        <f>(U20*1.6/0.6)/(O20/8)</f>
        <v>1.0161610433796426</v>
      </c>
    </row>
    <row r="21" spans="1:28" x14ac:dyDescent="0.25">
      <c r="A21" s="5" t="s">
        <v>46</v>
      </c>
      <c r="B21" s="6"/>
      <c r="C21" s="6"/>
      <c r="D21" s="6">
        <v>19</v>
      </c>
      <c r="E21" s="6"/>
      <c r="F21" s="6"/>
      <c r="G21" s="6">
        <v>25</v>
      </c>
      <c r="H21" s="6">
        <v>53</v>
      </c>
      <c r="I21" s="6">
        <v>2</v>
      </c>
      <c r="J21" s="6">
        <v>3</v>
      </c>
      <c r="K21" s="6">
        <v>25</v>
      </c>
      <c r="L21" s="6">
        <v>17</v>
      </c>
      <c r="M21" s="6">
        <v>12</v>
      </c>
      <c r="N21" s="7">
        <v>3</v>
      </c>
      <c r="O21" s="8">
        <f t="shared" si="0"/>
        <v>16083.12</v>
      </c>
      <c r="P21" s="8">
        <f t="shared" si="1"/>
        <v>25520</v>
      </c>
      <c r="Q21" s="8">
        <f>(O21-P21)/(35.27*24)</f>
        <v>-11.148379170210754</v>
      </c>
      <c r="R21" s="8">
        <f t="shared" si="2"/>
        <v>14404.763999999999</v>
      </c>
      <c r="S21" s="8">
        <f t="shared" si="3"/>
        <v>15820</v>
      </c>
      <c r="T21" s="8">
        <f t="shared" si="9"/>
        <v>-2.4561943534791699</v>
      </c>
      <c r="U21" s="8">
        <f t="shared" si="4"/>
        <v>1060</v>
      </c>
      <c r="V21" s="8">
        <f t="shared" si="5"/>
        <v>1211.875</v>
      </c>
      <c r="W21" s="8">
        <f t="shared" si="10"/>
        <v>-7.59375</v>
      </c>
      <c r="X21" s="8">
        <f t="shared" si="6"/>
        <v>2400</v>
      </c>
      <c r="Y21" s="9">
        <f t="shared" si="7"/>
        <v>35400</v>
      </c>
      <c r="Z21" s="10">
        <f>Y21/4</f>
        <v>8850</v>
      </c>
      <c r="AA21" s="11">
        <f>(R21/5)/(O21/8)</f>
        <v>1.4330317998000388</v>
      </c>
      <c r="AB21" s="11">
        <f>(U21*1.6/0.6)/(O21/8)</f>
        <v>1.4060290126128099</v>
      </c>
    </row>
    <row r="22" spans="1:28" x14ac:dyDescent="0.25">
      <c r="A22" s="5" t="s">
        <v>47</v>
      </c>
      <c r="B22" s="6"/>
      <c r="C22" s="6">
        <v>64</v>
      </c>
      <c r="D22" s="6"/>
      <c r="E22" s="6"/>
      <c r="F22" s="6"/>
      <c r="G22" s="6">
        <v>25</v>
      </c>
      <c r="H22" s="6">
        <v>47</v>
      </c>
      <c r="I22" s="6"/>
      <c r="J22" s="6">
        <v>1</v>
      </c>
      <c r="K22" s="6">
        <v>27</v>
      </c>
      <c r="L22" s="6">
        <v>20</v>
      </c>
      <c r="M22" s="6">
        <v>16</v>
      </c>
      <c r="N22" s="7">
        <v>1</v>
      </c>
      <c r="O22" s="8">
        <f t="shared" si="0"/>
        <v>22572.800000000003</v>
      </c>
      <c r="P22" s="8">
        <f t="shared" si="1"/>
        <v>21840</v>
      </c>
      <c r="Q22" s="8">
        <f t="shared" si="8"/>
        <v>2.0776864190530278</v>
      </c>
      <c r="R22" s="8">
        <f t="shared" si="2"/>
        <v>14404.763999999999</v>
      </c>
      <c r="S22" s="8">
        <f t="shared" si="3"/>
        <v>13540</v>
      </c>
      <c r="T22" s="8">
        <f t="shared" si="9"/>
        <v>1.500829864342101</v>
      </c>
      <c r="U22" s="8">
        <f t="shared" si="4"/>
        <v>940</v>
      </c>
      <c r="V22" s="8">
        <f t="shared" si="5"/>
        <v>1040.625</v>
      </c>
      <c r="W22" s="8">
        <f t="shared" si="10"/>
        <v>-5.03125</v>
      </c>
      <c r="X22" s="8">
        <f t="shared" si="6"/>
        <v>2600</v>
      </c>
      <c r="Y22" s="9">
        <f t="shared" si="7"/>
        <v>37800</v>
      </c>
      <c r="Z22" s="10">
        <f>Y22/4</f>
        <v>9450</v>
      </c>
      <c r="AA22" s="11">
        <f>(R22/5)/(O22/8)</f>
        <v>1.0210351573575276</v>
      </c>
      <c r="AB22" s="11">
        <f>(U22*1.6/0.6)/(O22/8)</f>
        <v>0.88838484075229185</v>
      </c>
    </row>
    <row r="23" spans="1:28" x14ac:dyDescent="0.25">
      <c r="A23" s="5" t="s">
        <v>48</v>
      </c>
      <c r="B23" s="6"/>
      <c r="C23" s="6">
        <v>192</v>
      </c>
      <c r="D23" s="6"/>
      <c r="E23" s="6"/>
      <c r="F23" s="6"/>
      <c r="G23" s="6">
        <v>76</v>
      </c>
      <c r="H23" s="6">
        <v>142</v>
      </c>
      <c r="I23" s="6">
        <v>4</v>
      </c>
      <c r="J23" s="6">
        <v>17</v>
      </c>
      <c r="K23" s="6">
        <v>73</v>
      </c>
      <c r="L23" s="6">
        <v>32</v>
      </c>
      <c r="M23" s="6">
        <v>31</v>
      </c>
      <c r="N23" s="7">
        <v>11</v>
      </c>
      <c r="O23" s="8">
        <f t="shared" si="0"/>
        <v>67718.400000000009</v>
      </c>
      <c r="P23" s="8">
        <f t="shared" si="1"/>
        <v>69120</v>
      </c>
      <c r="Q23" s="8">
        <f t="shared" si="8"/>
        <v>-3.9739155089310785</v>
      </c>
      <c r="R23" s="8">
        <f t="shared" si="2"/>
        <v>43790.482559999997</v>
      </c>
      <c r="S23" s="8">
        <f t="shared" si="3"/>
        <v>42780</v>
      </c>
      <c r="T23" s="8">
        <f t="shared" si="9"/>
        <v>1.7537298077219396</v>
      </c>
      <c r="U23" s="8">
        <f t="shared" si="4"/>
        <v>2840</v>
      </c>
      <c r="V23" s="8">
        <f t="shared" si="5"/>
        <v>3285.625</v>
      </c>
      <c r="W23" s="8">
        <f t="shared" si="10"/>
        <v>-22.28125</v>
      </c>
      <c r="X23" s="8">
        <f t="shared" si="6"/>
        <v>6560</v>
      </c>
      <c r="Y23" s="9">
        <f t="shared" si="7"/>
        <v>99200</v>
      </c>
      <c r="Z23" s="10">
        <f>Y23/4</f>
        <v>24800</v>
      </c>
      <c r="AA23" s="11">
        <f>(R23/5)/(O23/8)</f>
        <v>1.0346489594556278</v>
      </c>
      <c r="AB23" s="11">
        <f>(U23*1.6/0.6)/(O23/8)</f>
        <v>0.8946854424597549</v>
      </c>
    </row>
    <row r="24" spans="1:28" x14ac:dyDescent="0.25">
      <c r="A24" s="5" t="s">
        <v>49</v>
      </c>
      <c r="B24" s="6"/>
      <c r="C24" s="6">
        <v>110</v>
      </c>
      <c r="D24" s="6"/>
      <c r="E24" s="6"/>
      <c r="F24" s="6"/>
      <c r="G24" s="6">
        <v>39</v>
      </c>
      <c r="H24" s="6">
        <v>81</v>
      </c>
      <c r="I24" s="6">
        <v>2</v>
      </c>
      <c r="J24" s="6">
        <v>6</v>
      </c>
      <c r="K24" s="6">
        <v>39</v>
      </c>
      <c r="L24" s="6">
        <v>15</v>
      </c>
      <c r="M24" s="6">
        <v>13</v>
      </c>
      <c r="N24" s="7">
        <v>4</v>
      </c>
      <c r="O24" s="8">
        <f t="shared" si="0"/>
        <v>38797</v>
      </c>
      <c r="P24" s="8">
        <f t="shared" si="1"/>
        <v>32800</v>
      </c>
      <c r="Q24" s="8">
        <f t="shared" si="8"/>
        <v>17.003118797845193</v>
      </c>
      <c r="R24" s="8">
        <f t="shared" si="2"/>
        <v>22471.431839999997</v>
      </c>
      <c r="S24" s="8">
        <f t="shared" si="3"/>
        <v>20240</v>
      </c>
      <c r="T24" s="8">
        <f t="shared" si="9"/>
        <v>3.8727323821480129</v>
      </c>
      <c r="U24" s="8">
        <f t="shared" si="4"/>
        <v>1620</v>
      </c>
      <c r="V24" s="8">
        <f t="shared" si="5"/>
        <v>1561.875</v>
      </c>
      <c r="W24" s="8">
        <f t="shared" si="10"/>
        <v>2.90625</v>
      </c>
      <c r="X24" s="8">
        <f t="shared" si="6"/>
        <v>3080</v>
      </c>
      <c r="Y24" s="9">
        <f t="shared" si="7"/>
        <v>47040</v>
      </c>
      <c r="Z24" s="10">
        <f>Y24/4</f>
        <v>11760</v>
      </c>
      <c r="AA24" s="11">
        <f>(R24/5)/(O24/8)</f>
        <v>0.92672863736886857</v>
      </c>
      <c r="AB24" s="11">
        <f>(U24*1.6/0.6)/(O24/8)</f>
        <v>0.89079052504059597</v>
      </c>
    </row>
    <row r="25" spans="1:28" x14ac:dyDescent="0.25">
      <c r="A25" s="5" t="s">
        <v>50</v>
      </c>
      <c r="B25" s="6"/>
      <c r="C25" s="6">
        <v>62</v>
      </c>
      <c r="D25" s="6"/>
      <c r="E25" s="6"/>
      <c r="F25" s="6"/>
      <c r="G25" s="6">
        <v>15</v>
      </c>
      <c r="H25" s="6">
        <v>41</v>
      </c>
      <c r="I25" s="6">
        <v>1</v>
      </c>
      <c r="J25" s="6">
        <v>1</v>
      </c>
      <c r="K25" s="6">
        <v>23</v>
      </c>
      <c r="L25" s="6">
        <v>12</v>
      </c>
      <c r="M25" s="6">
        <v>13</v>
      </c>
      <c r="N25" s="7">
        <v>6</v>
      </c>
      <c r="O25" s="8">
        <f t="shared" si="0"/>
        <v>21867.4</v>
      </c>
      <c r="P25" s="8">
        <f t="shared" si="1"/>
        <v>20160</v>
      </c>
      <c r="Q25" s="8">
        <f t="shared" si="8"/>
        <v>4.8409413098950989</v>
      </c>
      <c r="R25" s="8">
        <f t="shared" si="2"/>
        <v>8642.8583999999992</v>
      </c>
      <c r="S25" s="8">
        <f t="shared" si="3"/>
        <v>12500</v>
      </c>
      <c r="T25" s="8">
        <f t="shared" si="9"/>
        <v>-6.6942117205113547</v>
      </c>
      <c r="U25" s="8">
        <f t="shared" si="4"/>
        <v>820</v>
      </c>
      <c r="V25" s="8">
        <f t="shared" si="5"/>
        <v>959.375</v>
      </c>
      <c r="W25" s="8">
        <f t="shared" si="10"/>
        <v>-6.96875</v>
      </c>
      <c r="X25" s="8">
        <f t="shared" si="6"/>
        <v>2200</v>
      </c>
      <c r="Y25" s="9">
        <f t="shared" si="7"/>
        <v>31280</v>
      </c>
      <c r="Z25" s="10">
        <f>Y25/4</f>
        <v>7820</v>
      </c>
      <c r="AA25" s="11">
        <f>(R25/5)/(O25/8)</f>
        <v>0.63238306520208154</v>
      </c>
      <c r="AB25" s="11">
        <f>(U25*1.6/0.6)/(O25/8)</f>
        <v>0.79997317163143922</v>
      </c>
    </row>
    <row r="26" spans="1:28" x14ac:dyDescent="0.25">
      <c r="A26" s="5" t="s">
        <v>51</v>
      </c>
      <c r="B26" s="6"/>
      <c r="C26" s="6">
        <v>73</v>
      </c>
      <c r="D26" s="6"/>
      <c r="E26" s="6"/>
      <c r="F26" s="6"/>
      <c r="G26" s="6">
        <v>18</v>
      </c>
      <c r="H26" s="6">
        <v>69</v>
      </c>
      <c r="I26" s="6">
        <v>1</v>
      </c>
      <c r="J26" s="6">
        <v>1</v>
      </c>
      <c r="K26" s="6">
        <v>32</v>
      </c>
      <c r="L26" s="6">
        <v>22</v>
      </c>
      <c r="M26" s="6">
        <v>9</v>
      </c>
      <c r="N26" s="7">
        <v>2</v>
      </c>
      <c r="O26" s="8">
        <f t="shared" si="0"/>
        <v>25747.100000000002</v>
      </c>
      <c r="P26" s="8">
        <f t="shared" si="1"/>
        <v>25360</v>
      </c>
      <c r="Q26" s="8">
        <f t="shared" si="8"/>
        <v>1.0975333144315345</v>
      </c>
      <c r="R26" s="8">
        <f t="shared" si="2"/>
        <v>10371.430079999998</v>
      </c>
      <c r="S26" s="8">
        <f t="shared" si="3"/>
        <v>15620</v>
      </c>
      <c r="T26" s="8">
        <f t="shared" si="9"/>
        <v>-9.1090869659509899</v>
      </c>
      <c r="U26" s="8">
        <f t="shared" si="4"/>
        <v>1380</v>
      </c>
      <c r="V26" s="8">
        <f t="shared" si="5"/>
        <v>1208.75</v>
      </c>
      <c r="W26" s="8">
        <f t="shared" si="10"/>
        <v>8.5625</v>
      </c>
      <c r="X26" s="8">
        <f t="shared" si="6"/>
        <v>2640</v>
      </c>
      <c r="Y26" s="9">
        <f t="shared" si="7"/>
        <v>39640</v>
      </c>
      <c r="Z26" s="10">
        <f>Y26/4</f>
        <v>9910</v>
      </c>
      <c r="AA26" s="11">
        <f>(R26/5)/(O26/8)</f>
        <v>0.64451095960321725</v>
      </c>
      <c r="AB26" s="11">
        <f>(U26*1.6/0.6)/(O26/8)</f>
        <v>1.1434297454858993</v>
      </c>
    </row>
    <row r="27" spans="1:28" x14ac:dyDescent="0.25">
      <c r="A27" s="5" t="s">
        <v>52</v>
      </c>
      <c r="B27" s="6"/>
      <c r="C27" s="6">
        <v>88</v>
      </c>
      <c r="D27" s="6"/>
      <c r="E27" s="6"/>
      <c r="F27" s="6"/>
      <c r="G27" s="6">
        <v>26</v>
      </c>
      <c r="H27" s="6">
        <v>74</v>
      </c>
      <c r="I27" s="6">
        <v>1</v>
      </c>
      <c r="J27" s="6">
        <v>2</v>
      </c>
      <c r="K27" s="6">
        <v>31</v>
      </c>
      <c r="L27" s="6">
        <v>27</v>
      </c>
      <c r="M27" s="6">
        <v>20</v>
      </c>
      <c r="N27" s="7">
        <v>3</v>
      </c>
      <c r="O27" s="8">
        <f t="shared" si="0"/>
        <v>31037.600000000002</v>
      </c>
      <c r="P27" s="8">
        <f t="shared" si="1"/>
        <v>30000</v>
      </c>
      <c r="Q27" s="8">
        <f t="shared" si="8"/>
        <v>2.9418769492486594</v>
      </c>
      <c r="R27" s="8">
        <f t="shared" si="2"/>
        <v>14980.954559999998</v>
      </c>
      <c r="S27" s="8">
        <f t="shared" si="3"/>
        <v>18640</v>
      </c>
      <c r="T27" s="8">
        <f t="shared" si="9"/>
        <v>-6.3504085176265326</v>
      </c>
      <c r="U27" s="8">
        <f t="shared" si="4"/>
        <v>1480</v>
      </c>
      <c r="V27" s="8">
        <f t="shared" si="5"/>
        <v>1425.625</v>
      </c>
      <c r="W27" s="8">
        <f t="shared" si="10"/>
        <v>2.71875</v>
      </c>
      <c r="X27" s="8">
        <f t="shared" si="6"/>
        <v>3320</v>
      </c>
      <c r="Y27" s="9">
        <f t="shared" si="7"/>
        <v>47800</v>
      </c>
      <c r="Z27" s="10">
        <f>Y27/4</f>
        <v>11950</v>
      </c>
      <c r="AA27" s="11">
        <f>(R27/5)/(O27/8)</f>
        <v>0.7722738644740571</v>
      </c>
      <c r="AB27" s="11">
        <f>(U27*1.6/0.6)/(O27/8)</f>
        <v>1.0172607847685817</v>
      </c>
    </row>
    <row r="28" spans="1:28" x14ac:dyDescent="0.25">
      <c r="A28" s="5" t="s">
        <v>53</v>
      </c>
      <c r="B28" s="6"/>
      <c r="C28" s="6">
        <v>160</v>
      </c>
      <c r="D28" s="6"/>
      <c r="E28" s="6"/>
      <c r="F28" s="6"/>
      <c r="G28" s="6">
        <v>58</v>
      </c>
      <c r="H28" s="6">
        <v>134</v>
      </c>
      <c r="I28" s="6">
        <v>3</v>
      </c>
      <c r="J28" s="6">
        <v>12</v>
      </c>
      <c r="K28" s="6">
        <v>63</v>
      </c>
      <c r="L28" s="6">
        <v>30</v>
      </c>
      <c r="M28" s="6">
        <v>27</v>
      </c>
      <c r="N28" s="7">
        <v>5</v>
      </c>
      <c r="O28" s="8">
        <f t="shared" si="0"/>
        <v>56432.000000000007</v>
      </c>
      <c r="P28" s="8">
        <f t="shared" si="1"/>
        <v>56960</v>
      </c>
      <c r="Q28" s="8">
        <f t="shared" si="8"/>
        <v>-1.497022965693203</v>
      </c>
      <c r="R28" s="8">
        <f t="shared" si="2"/>
        <v>33419.052479999998</v>
      </c>
      <c r="S28" s="8">
        <f t="shared" si="3"/>
        <v>35240</v>
      </c>
      <c r="T28" s="8">
        <f t="shared" si="9"/>
        <v>-3.1603216824656091</v>
      </c>
      <c r="U28" s="8">
        <f t="shared" si="4"/>
        <v>2680</v>
      </c>
      <c r="V28" s="8">
        <f t="shared" si="5"/>
        <v>2709.375</v>
      </c>
      <c r="W28" s="8">
        <f t="shared" si="10"/>
        <v>-1.46875</v>
      </c>
      <c r="X28" s="8">
        <f t="shared" si="6"/>
        <v>5480</v>
      </c>
      <c r="Y28" s="9">
        <f t="shared" si="7"/>
        <v>83120</v>
      </c>
      <c r="Z28" s="10">
        <f>Y28/4</f>
        <v>20780</v>
      </c>
      <c r="AA28" s="11">
        <f>(R28/5)/(O28/8)</f>
        <v>0.94752062602778553</v>
      </c>
      <c r="AB28" s="11">
        <f>(U28*1.6/0.6)/(O28/8)</f>
        <v>1.0131367545600605</v>
      </c>
    </row>
    <row r="29" spans="1:28" x14ac:dyDescent="0.25">
      <c r="A29" s="5" t="s">
        <v>54</v>
      </c>
      <c r="B29" s="6"/>
      <c r="C29" s="6">
        <v>68</v>
      </c>
      <c r="D29" s="6"/>
      <c r="E29" s="6"/>
      <c r="F29" s="6"/>
      <c r="G29" s="6">
        <v>21</v>
      </c>
      <c r="H29" s="6">
        <v>59</v>
      </c>
      <c r="I29" s="6">
        <v>1</v>
      </c>
      <c r="J29" s="6">
        <v>1</v>
      </c>
      <c r="K29" s="6">
        <v>22</v>
      </c>
      <c r="L29" s="6">
        <v>28</v>
      </c>
      <c r="M29" s="6">
        <v>11</v>
      </c>
      <c r="N29" s="7">
        <v>2</v>
      </c>
      <c r="O29" s="8">
        <f t="shared" si="0"/>
        <v>23983.600000000002</v>
      </c>
      <c r="P29" s="8">
        <f t="shared" si="1"/>
        <v>23760</v>
      </c>
      <c r="Q29" s="8">
        <f t="shared" si="8"/>
        <v>0.63396654380493955</v>
      </c>
      <c r="R29" s="8">
        <f t="shared" si="2"/>
        <v>12100.001759999999</v>
      </c>
      <c r="S29" s="8">
        <f t="shared" si="3"/>
        <v>14740</v>
      </c>
      <c r="T29" s="8">
        <f t="shared" si="9"/>
        <v>-4.5818144608269886</v>
      </c>
      <c r="U29" s="8">
        <f t="shared" si="4"/>
        <v>1180</v>
      </c>
      <c r="V29" s="8">
        <f t="shared" si="5"/>
        <v>1127.5</v>
      </c>
      <c r="W29" s="8">
        <f t="shared" si="10"/>
        <v>2.625</v>
      </c>
      <c r="X29" s="8">
        <f t="shared" si="6"/>
        <v>2560</v>
      </c>
      <c r="Y29" s="9">
        <f t="shared" si="7"/>
        <v>37080</v>
      </c>
      <c r="Z29" s="10">
        <f>Y29/4</f>
        <v>9270</v>
      </c>
      <c r="AA29" s="11">
        <f>(R29/5)/(O29/8)</f>
        <v>0.80721838322853945</v>
      </c>
      <c r="AB29" s="11">
        <f>(U29*1.6/0.6)/(O29/8)</f>
        <v>1.0496061197373761</v>
      </c>
    </row>
    <row r="30" spans="1:28" x14ac:dyDescent="0.25">
      <c r="A30" s="5" t="s">
        <v>55</v>
      </c>
      <c r="B30" s="6"/>
      <c r="C30" s="6">
        <v>96</v>
      </c>
      <c r="D30" s="6"/>
      <c r="E30" s="6"/>
      <c r="F30" s="6"/>
      <c r="G30" s="6">
        <v>34</v>
      </c>
      <c r="H30" s="6">
        <v>85</v>
      </c>
      <c r="I30" s="6">
        <v>1</v>
      </c>
      <c r="J30" s="6">
        <v>2</v>
      </c>
      <c r="K30" s="6">
        <v>39</v>
      </c>
      <c r="L30" s="6">
        <v>25</v>
      </c>
      <c r="M30" s="6">
        <v>20</v>
      </c>
      <c r="N30" s="7">
        <v>4</v>
      </c>
      <c r="O30" s="8">
        <f t="shared" si="0"/>
        <v>33859.200000000004</v>
      </c>
      <c r="P30" s="8">
        <f t="shared" si="1"/>
        <v>32720</v>
      </c>
      <c r="Q30" s="8">
        <f t="shared" si="8"/>
        <v>3.2299404593138767</v>
      </c>
      <c r="R30" s="8">
        <f t="shared" si="2"/>
        <v>19590.479040000002</v>
      </c>
      <c r="S30" s="8">
        <f t="shared" si="3"/>
        <v>20260</v>
      </c>
      <c r="T30" s="8">
        <f t="shared" si="9"/>
        <v>-1.1619783566047976</v>
      </c>
      <c r="U30" s="8">
        <f t="shared" si="4"/>
        <v>1700</v>
      </c>
      <c r="V30" s="8">
        <f t="shared" si="5"/>
        <v>1558.125</v>
      </c>
      <c r="W30" s="8">
        <f t="shared" si="10"/>
        <v>7.09375</v>
      </c>
      <c r="X30" s="8">
        <f t="shared" si="6"/>
        <v>3600</v>
      </c>
      <c r="Y30" s="9">
        <f t="shared" si="7"/>
        <v>52520</v>
      </c>
      <c r="Z30" s="10">
        <f>Y30/4</f>
        <v>13130</v>
      </c>
      <c r="AA30" s="11">
        <f>(R30/5)/(O30/8)</f>
        <v>0.92573854267082512</v>
      </c>
      <c r="AB30" s="11">
        <f>(U30*1.6/0.6)/(O30/8)</f>
        <v>1.0711022902687206</v>
      </c>
    </row>
    <row r="31" spans="1:28" x14ac:dyDescent="0.25">
      <c r="A31" s="5" t="s">
        <v>56</v>
      </c>
      <c r="B31" s="6"/>
      <c r="C31" s="6">
        <v>60</v>
      </c>
      <c r="D31" s="6"/>
      <c r="E31" s="6"/>
      <c r="F31" s="6"/>
      <c r="G31" s="6">
        <v>17</v>
      </c>
      <c r="H31" s="6">
        <v>21</v>
      </c>
      <c r="I31" s="6"/>
      <c r="J31" s="6">
        <v>1</v>
      </c>
      <c r="K31" s="6">
        <v>17</v>
      </c>
      <c r="L31" s="6">
        <v>18</v>
      </c>
      <c r="M31" s="6">
        <v>8</v>
      </c>
      <c r="N31" s="7">
        <v>1</v>
      </c>
      <c r="O31" s="8">
        <f t="shared" si="0"/>
        <v>21162.000000000004</v>
      </c>
      <c r="P31" s="8">
        <f t="shared" si="1"/>
        <v>15280</v>
      </c>
      <c r="Q31" s="8">
        <f t="shared" si="8"/>
        <v>16.67706265948399</v>
      </c>
      <c r="R31" s="8">
        <f t="shared" si="2"/>
        <v>9795.239520000001</v>
      </c>
      <c r="S31" s="8">
        <f t="shared" si="3"/>
        <v>9460</v>
      </c>
      <c r="T31" s="8">
        <f t="shared" si="9"/>
        <v>0.5818205699170097</v>
      </c>
      <c r="U31" s="8">
        <f t="shared" si="4"/>
        <v>420</v>
      </c>
      <c r="V31" s="8">
        <f t="shared" si="5"/>
        <v>726.875</v>
      </c>
      <c r="W31" s="8">
        <f t="shared" si="10"/>
        <v>-15.34375</v>
      </c>
      <c r="X31" s="8">
        <f t="shared" si="6"/>
        <v>1800</v>
      </c>
      <c r="Y31" s="9">
        <f t="shared" si="7"/>
        <v>26360</v>
      </c>
      <c r="Z31" s="10">
        <f>Y31/4</f>
        <v>6590</v>
      </c>
      <c r="AA31" s="11">
        <f>(R31/5)/(O31/8)</f>
        <v>0.74059083413666005</v>
      </c>
      <c r="AB31" s="11">
        <f>(U31*1.6/0.6)/(O31/8)</f>
        <v>0.42340043474151773</v>
      </c>
    </row>
    <row r="32" spans="1:28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4"/>
      <c r="W32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2026-01-16T20:31:15Z</dcterms:created>
  <dcterms:modified xsi:type="dcterms:W3CDTF">2026-01-16T20:32:02Z</dcterms:modified>
</cp:coreProperties>
</file>